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remissas" sheetId="2" state="visible" r:id="rId2"/>
    <sheet name="Renda Perpétua" sheetId="3" state="visible" r:id="rId3"/>
    <sheet name="Consumir Patrimônio" sheetId="4" state="visible" r:id="rId4"/>
    <sheet name="Projeção Anual" sheetId="5" state="visible" r:id="rId5"/>
  </sheets>
  <definedNames>
    <definedName name="Idade_Hoje">Premissas!$D$6</definedName>
    <definedName name="Idade_Alvo">Premissas!$D$7</definedName>
    <definedName name="Patrimonio_Atual">Premissas!$D$8</definedName>
    <definedName name="Aporte_Atual">Premissas!$D$9</definedName>
    <definedName name="Anos_Acumulo">Premissas!$D$11</definedName>
    <definedName name="Meses_Acumulo">Premissas!$D$12</definedName>
    <definedName name="Retorno_Bruto">Premissas!$D$15</definedName>
    <definedName name="Inflacao">Premissas!$D$16</definedName>
    <definedName name="Custos">Premissas!$D$17</definedName>
    <definedName name="Retorno_Liquido">Premissas!$D$19</definedName>
    <definedName name="Taxa_Real">Premissas!$D$20</definedName>
    <definedName name="Taxa_Mensal">Premissas!$D$21</definedName>
    <definedName name="Desp_Mensal">'Renda Perpétua'!$D$6</definedName>
    <definedName name="Taxa_Saque">'Renda Perpétua'!$D$7</definedName>
    <definedName name="Desp_Anual">'Renda Perpétua'!$D$8</definedName>
    <definedName name="Meta_Perp">'Renda Perpétua'!$D$12</definedName>
    <definedName name="Aporte_Perp">'Renda Perpétua'!$D$13</definedName>
    <definedName name="Perp_Projetado">'Renda Perpétua'!$D$18</definedName>
    <definedName name="Perp_Alternativa">'Renda Perpétua'!$D$22</definedName>
    <definedName name="Perp_Com_Aporte_Atual">'Renda Perpétua'!$D$26</definedName>
    <definedName name="Perp_Fator">'Renda Perpétua'!$D$31</definedName>
    <definedName name="Renda_Mensal">'Consumir Patrimônio'!$D$6</definedName>
    <definedName name="Duracao_Anos">'Consumir Patrimônio'!$D$7</definedName>
    <definedName name="Heranca">'Consumir Patrimônio'!$D$8</definedName>
    <definedName name="Meses_Renda">'Consumir Patrimônio'!$D$9</definedName>
    <definedName name="Meta_Cons">'Consumir Patrimônio'!$D$13</definedName>
    <definedName name="Aporte_Cons">'Consumir Patrimônio'!$D$14</definedName>
    <definedName name="Cons_Projetado">'Consumir Patrimônio'!$D$18</definedName>
    <definedName name="Cons_Perpetua">'Consumir Patrimônio'!$D$23</definedName>
    <definedName name="Cons_Com_Aporte_Atual">'Consumir Patrimônio'!$D$27</definedName>
    <definedName name="Cons_Fator">'Consumir Patrimônio'!$D$32</definedName>
    <definedName name="Modo">'Projeção Anual'!$C$5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 &quot;anos&quot;"/>
    <numFmt numFmtId="165" formatCode="R$ #,##0;-R$ #,##0;&quot;—&quot;"/>
    <numFmt numFmtId="166" formatCode="0.0%"/>
    <numFmt numFmtId="167" formatCode="0.0000%"/>
    <numFmt numFmtId="168" formatCode="0.0&quot;×&quot;"/>
    <numFmt numFmtId="169" formatCode="0.00&quot;×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5A72"/>
      <sz val="9"/>
    </font>
    <font>
      <name val="Arial"/>
      <b val="1"/>
      <color rgb="001B1B5C"/>
      <sz val="11"/>
    </font>
    <font>
      <name val="Arial"/>
      <color rgb="00000000"/>
      <sz val="10"/>
    </font>
    <font>
      <name val="Arial"/>
      <color rgb="005A5A72"/>
      <sz val="10"/>
    </font>
    <font>
      <name val="Arial"/>
      <b val="1"/>
      <color rgb="001B1B5C"/>
      <sz val="10"/>
    </font>
    <font>
      <name val="Arial"/>
      <b val="1"/>
      <color rgb="000000FF"/>
      <sz val="10"/>
    </font>
    <font>
      <name val="Arial"/>
      <color rgb="005A5A72"/>
      <sz val="9"/>
    </font>
    <font>
      <name val="Arial"/>
      <b val="1"/>
      <color rgb="00000000"/>
      <sz val="10"/>
    </font>
    <font>
      <name val="Arial"/>
      <b val="1"/>
      <color rgb="00006400"/>
      <sz val="10"/>
    </font>
    <font>
      <name val="Arial"/>
      <b val="1"/>
      <color rgb="003E6F69"/>
      <sz val="9"/>
    </font>
    <font>
      <name val="Arial"/>
      <color rgb="00006400"/>
      <sz val="10"/>
    </font>
    <font>
      <name val="Arial"/>
      <color rgb="00000000"/>
      <sz val="9"/>
    </font>
    <font>
      <name val="Arial"/>
      <i val="1"/>
      <color rgb="005A5A72"/>
      <sz val="8"/>
    </font>
    <font>
      <name val="Arial"/>
      <b val="1"/>
      <color rgb="00FFFFFF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B1B5C"/>
      </patternFill>
    </fill>
    <fill>
      <patternFill patternType="solid">
        <fgColor rgb="00FFF2CC"/>
      </patternFill>
    </fill>
    <fill>
      <patternFill patternType="solid">
        <fgColor rgb="00EDEBE4"/>
      </patternFill>
    </fill>
    <fill>
      <patternFill patternType="solid">
        <fgColor rgb="00E3E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3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4" borderId="0" applyAlignment="1" pivotButton="0" quotePrefix="0" xfId="0">
      <alignment vertical="center"/>
    </xf>
    <xf numFmtId="0" fontId="11" fillId="4" borderId="0" pivotButton="0" quotePrefix="0" xfId="0"/>
    <xf numFmtId="164" fontId="7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6" fontId="7" fillId="3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" fontId="7" fillId="3" borderId="0" applyAlignment="1" pivotButton="0" quotePrefix="0" xfId="0">
      <alignment horizontal="center" vertical="center"/>
    </xf>
    <xf numFmtId="0" fontId="13" fillId="0" borderId="0" pivotButton="0" quotePrefix="0" xfId="0"/>
    <xf numFmtId="3" fontId="12" fillId="0" borderId="0" applyAlignment="1" pivotButton="0" quotePrefix="0" xfId="0">
      <alignment horizontal="right" vertical="center"/>
    </xf>
    <xf numFmtId="0" fontId="14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1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5" fontId="13" fillId="0" borderId="0" pivotButton="0" quotePrefix="0" xfId="0"/>
    <xf numFmtId="165" fontId="16" fillId="0" borderId="0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4" customWidth="1" min="3" max="3"/>
    <col width="20" customWidth="1" min="4" max="4"/>
    <col width="52" customWidth="1" min="5" max="5"/>
    <col width="4" customWidth="1" min="6" max="6"/>
  </cols>
  <sheetData>
    <row r="2" ht="26" customHeight="1">
      <c r="B2" s="1" t="inlineStr">
        <is>
          <t>Calculadora FIRE · HZ Invest</t>
        </is>
      </c>
      <c r="C2" s="1" t="n"/>
      <c r="D2" s="1" t="n"/>
      <c r="E2" s="1" t="n"/>
      <c r="F2" s="1" t="n"/>
    </row>
    <row r="3">
      <c r="B3" s="2" t="inlineStr">
        <is>
          <t>As mesmas fórmulas e o mesmo funcionamento da calculadora do site.</t>
        </is>
      </c>
    </row>
    <row r="5">
      <c r="B5" s="3" t="inlineStr">
        <is>
          <t>O que esta planilha responde</t>
        </is>
      </c>
    </row>
    <row r="7">
      <c r="B7" s="4" t="inlineStr">
        <is>
          <t>Você diz com quanto quer viver e em que idade quer parar de trabalhar.</t>
        </is>
      </c>
    </row>
    <row r="8">
      <c r="B8" s="4" t="inlineStr">
        <is>
          <t>A planilha devolve duas coisas: o patrimônio necessário na data da aposentadoria</t>
        </is>
      </c>
    </row>
    <row r="9">
      <c r="B9" s="4" t="inlineStr">
        <is>
          <t>e quanto você precisa guardar por mês para chegar lá.</t>
        </is>
      </c>
    </row>
    <row r="10">
      <c r="B10" s="4" t="inlineStr"/>
    </row>
    <row r="11">
      <c r="B11" s="4" t="inlineStr">
        <is>
          <t>São duas estratégias, cada uma na sua aba:</t>
        </is>
      </c>
    </row>
    <row r="12">
      <c r="B12" s="5" t="inlineStr">
        <is>
          <t xml:space="preserve">   • Renda perpétua — você vive só dos rendimentos e o patrimônio fica intacto para sempre.</t>
        </is>
      </c>
    </row>
    <row r="13">
      <c r="B13" s="5" t="inlineStr">
        <is>
          <t xml:space="preserve">   • Consumir o patrimônio — você gasta o principal ao longo de um prazo definido, terminando</t>
        </is>
      </c>
    </row>
    <row r="14">
      <c r="B14" s="5" t="inlineStr">
        <is>
          <t xml:space="preserve">     sem nada (ou com a herança que escolher). Exige bem menos capital.</t>
        </is>
      </c>
    </row>
    <row r="16">
      <c r="B16" s="3" t="inlineStr">
        <is>
          <t>Como usar</t>
        </is>
      </c>
    </row>
    <row r="18">
      <c r="B18" s="4" t="inlineStr">
        <is>
          <t>Preencha apenas as células destacadas em amarelo, com número azul.</t>
        </is>
      </c>
    </row>
    <row r="19">
      <c r="B19" s="4" t="inlineStr">
        <is>
          <t>Todo o resto é fórmula e se recalcula sozinho. Comece pela aba Premissas.</t>
        </is>
      </c>
    </row>
    <row r="21">
      <c r="B21" s="6" t="inlineStr">
        <is>
          <t>Legenda</t>
        </is>
      </c>
    </row>
    <row r="22">
      <c r="B22" s="7" t="inlineStr">
        <is>
          <t>1.234</t>
        </is>
      </c>
      <c r="D22" s="8" t="inlineStr">
        <is>
          <t>Célula que você preenche (premissa sua)</t>
        </is>
      </c>
    </row>
    <row r="23">
      <c r="B23" s="9" t="inlineStr">
        <is>
          <t>1.234</t>
        </is>
      </c>
      <c r="D23" s="8" t="inlineStr">
        <is>
          <t>Fórmula calculada — não edite</t>
        </is>
      </c>
    </row>
    <row r="24">
      <c r="B24" s="10" t="inlineStr">
        <is>
          <t>1.234</t>
        </is>
      </c>
      <c r="D24" s="8" t="inlineStr">
        <is>
          <t>Fórmula que puxa valor de outra aba</t>
        </is>
      </c>
    </row>
    <row r="26">
      <c r="B26" s="3" t="inlineStr">
        <is>
          <t>Abas</t>
        </is>
      </c>
    </row>
    <row r="28">
      <c r="B28" s="11" t="inlineStr">
        <is>
          <t>Premissas</t>
        </is>
      </c>
      <c r="D28" s="8" t="inlineStr">
        <is>
          <t>Sua idade, patrimônio e as premissas de mercado. Vale para as duas estratégias.</t>
        </is>
      </c>
    </row>
    <row r="29">
      <c r="B29" s="11" t="inlineStr">
        <is>
          <t>Renda Perpétua</t>
        </is>
      </c>
      <c r="D29" s="8" t="inlineStr">
        <is>
          <t>Estratégia 1: patrimônio preservado para sempre, pela regra dos 4%.</t>
        </is>
      </c>
    </row>
    <row r="30">
      <c r="B30" s="11" t="inlineStr">
        <is>
          <t>Consumir Patrimônio</t>
        </is>
      </c>
      <c r="D30" s="8" t="inlineStr">
        <is>
          <t>Estratégia 2: patrimônio gasto ao longo de um prazo que você define.</t>
        </is>
      </c>
    </row>
    <row r="31">
      <c r="B31" s="11" t="inlineStr">
        <is>
          <t>Projeção Anual</t>
        </is>
      </c>
      <c r="D31" s="8" t="inlineStr">
        <is>
          <t>Ano a ano: saldo, aportes, saques e rendimento. Escolha a estratégia no topo.</t>
        </is>
      </c>
    </row>
    <row r="33">
      <c r="B33" s="3" t="inlineStr">
        <is>
          <t>Duas coisas importantes sobre inflação</t>
        </is>
      </c>
    </row>
    <row r="35">
      <c r="B35" s="4" t="inlineStr">
        <is>
          <t>Toda a projeção roda em taxa real, então os valores estão EM REAIS DE HOJE — com o poder</t>
        </is>
      </c>
    </row>
    <row r="36">
      <c r="B36" s="4" t="inlineStr">
        <is>
          <t>de compra que o dinheiro tem agora. Cada aba traz um bloco que converte os números para os</t>
        </is>
      </c>
    </row>
    <row r="37">
      <c r="B37" s="4" t="inlineStr">
        <is>
          <t>valores de face da data da aposentadoria, que é o que apareceria no extrato.</t>
        </is>
      </c>
    </row>
    <row r="38">
      <c r="B38" s="4" t="inlineStr"/>
    </row>
    <row r="39">
      <c r="B39" s="4" t="inlineStr">
        <is>
          <t>Por isso o aporte precisa ser reajustado pela inflação todo ano. Guardar o valor calculado</t>
        </is>
      </c>
    </row>
    <row r="40">
      <c r="B40" s="4" t="inlineStr">
        <is>
          <t>fixo durante todo o período não cumpre o plano — o bloco de conversão mostra em quanto ele</t>
        </is>
      </c>
    </row>
    <row r="41">
      <c r="B41" s="4" t="inlineStr">
        <is>
          <t>termina. Pelo mesmo motivo, o saque continua subindo depois da aposentadoria.</t>
        </is>
      </c>
    </row>
    <row r="43">
      <c r="B43" s="3" t="inlineStr">
        <is>
          <t>Origem dos números</t>
        </is>
      </c>
    </row>
    <row r="45">
      <c r="B45" s="5" t="inlineStr">
        <is>
          <t>Todas as premissas são escolhas suas — não há nenhum dado de mercado embutido na planilha.</t>
        </is>
      </c>
    </row>
    <row r="46">
      <c r="B46" s="5" t="inlineStr">
        <is>
          <t>Os valores que vêm preenchidos são um exemplo realista (45 anos, parar aos 60, viver com</t>
        </is>
      </c>
    </row>
    <row r="47">
      <c r="B47" s="5" t="inlineStr">
        <is>
          <t>R$ 10.000 por mês durante 30 anos) e servem só para mostrar o formato esperado de cada campo.</t>
        </is>
      </c>
    </row>
    <row r="48">
      <c r="B48" s="5" t="inlineStr">
        <is>
          <t>A regra dos 4% vem do Trinity Study (Universidade de Trinity, 1998), que analisou carteiras</t>
        </is>
      </c>
    </row>
    <row r="49">
      <c r="B49" s="5" t="inlineStr">
        <is>
          <t>americanas em janelas de 30 anos. Para o Brasil costuma-se usar 3% a 3,5%, mais conservador.</t>
        </is>
      </c>
    </row>
    <row r="50">
      <c r="B50" s="5" t="inlineStr"/>
    </row>
    <row r="51">
      <c r="B51" s="5" t="inlineStr">
        <is>
          <t>A planilha reproduz o motor da calculadora em hzinvest.com.br/calculadora-fire.html.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8" customWidth="1" min="4" max="4"/>
    <col width="58" customWidth="1" min="5" max="5"/>
    <col width="3" customWidth="1" min="6" max="6"/>
  </cols>
  <sheetData>
    <row r="2" ht="26" customHeight="1">
      <c r="B2" s="1" t="inlineStr">
        <is>
          <t>Premissas gerais</t>
        </is>
      </c>
      <c r="C2" s="1" t="n"/>
      <c r="D2" s="1" t="n"/>
      <c r="E2" s="1" t="n"/>
      <c r="F2" s="1" t="n"/>
    </row>
    <row r="3">
      <c r="B3" s="2" t="inlineStr">
        <is>
          <t>Valem para as duas estratégias. Preencha as células amarelas.</t>
        </is>
      </c>
    </row>
    <row r="5">
      <c r="B5" s="12" t="inlineStr">
        <is>
          <t>VOCÊ</t>
        </is>
      </c>
      <c r="C5" s="13" t="n"/>
      <c r="D5" s="13" t="n"/>
      <c r="E5" s="13" t="n"/>
    </row>
    <row r="6">
      <c r="B6" s="4" t="inlineStr">
        <is>
          <t>Sua idade hoje</t>
        </is>
      </c>
      <c r="D6" s="14" t="n">
        <v>45</v>
      </c>
    </row>
    <row r="7">
      <c r="B7" s="4" t="inlineStr">
        <is>
          <t>Idade em que quer se aposentar</t>
        </is>
      </c>
      <c r="D7" s="14" t="n">
        <v>60</v>
      </c>
    </row>
    <row r="8">
      <c r="B8" s="4" t="inlineStr">
        <is>
          <t>Patrimônio atual</t>
        </is>
      </c>
      <c r="D8" s="15" t="n">
        <v>50000</v>
      </c>
    </row>
    <row r="9">
      <c r="B9" s="4" t="inlineStr">
        <is>
          <t>Aporte que você já faz hoje</t>
        </is>
      </c>
      <c r="D9" s="15" t="n">
        <v>0</v>
      </c>
      <c r="E9" s="2" t="inlineStr">
        <is>
          <t>Opcional. Só para comparar com o aporte necessário. Deixe zero para ignorar.</t>
        </is>
      </c>
    </row>
    <row r="11">
      <c r="B11" s="4" t="inlineStr">
        <is>
          <t>Anos de acumulação</t>
        </is>
      </c>
      <c r="D11" s="16">
        <f>MAX(0,Idade_Alvo-Idade_Hoje)</f>
        <v/>
      </c>
      <c r="E11" s="2" t="inlineStr">
        <is>
          <t>Zero se você já passou da idade em que queria parar.</t>
        </is>
      </c>
    </row>
    <row r="12">
      <c r="B12" s="4" t="inlineStr">
        <is>
          <t>Meses de acumulação</t>
        </is>
      </c>
      <c r="D12" s="17">
        <f>Anos_Acumulo*12</f>
        <v/>
      </c>
    </row>
    <row r="14">
      <c r="B14" s="12" t="inlineStr">
        <is>
          <t>MERCADO</t>
        </is>
      </c>
      <c r="C14" s="13" t="n"/>
      <c r="D14" s="13" t="n"/>
      <c r="E14" s="13" t="n"/>
    </row>
    <row r="15">
      <c r="B15" s="4" t="inlineStr">
        <is>
          <t>Retorno bruto anual da carteira</t>
        </is>
      </c>
      <c r="D15" s="18" t="n">
        <v>0.1</v>
      </c>
    </row>
    <row r="16">
      <c r="B16" s="4" t="inlineStr">
        <is>
          <t>Inflação anual estimada</t>
        </is>
      </c>
      <c r="D16" s="18" t="n">
        <v>0.045</v>
      </c>
    </row>
    <row r="17">
      <c r="B17" s="4" t="inlineStr">
        <is>
          <t>Custos e IR sobre o rendimento</t>
        </is>
      </c>
      <c r="D17" s="18" t="n">
        <v>0</v>
      </c>
      <c r="E17" s="2" t="inlineStr">
        <is>
          <t>15% aproxima o IR de longo prazo da renda fixa; 0% uma carteira de ações com poucos resgates.</t>
        </is>
      </c>
    </row>
    <row r="19">
      <c r="B19" s="4" t="inlineStr">
        <is>
          <t>Retorno líquido anual</t>
        </is>
      </c>
      <c r="D19" s="19">
        <f>Retorno_Bruto*(1-Custos)</f>
        <v/>
      </c>
      <c r="E19" s="2" t="inlineStr">
        <is>
          <t>Retorno bruto menos a alíquota de custos e IR.</t>
        </is>
      </c>
    </row>
    <row r="20">
      <c r="B20" s="4" t="inlineStr">
        <is>
          <t>Taxa real anual</t>
        </is>
      </c>
      <c r="D20" s="19">
        <f>(1+Retorno_Liquido)/(1+Inflacao)-1</f>
        <v/>
      </c>
      <c r="E20" s="2" t="inlineStr">
        <is>
          <t>Equação de Fisher: o ganho acima da inflação. É com ela que tudo é projetado.</t>
        </is>
      </c>
    </row>
    <row r="21">
      <c r="B21" s="4" t="inlineStr">
        <is>
          <t>Taxa real mensal</t>
        </is>
      </c>
      <c r="D21" s="20">
        <f>(1+Taxa_Real)^(1/12)-1</f>
        <v/>
      </c>
      <c r="E21" s="2" t="inlineStr">
        <is>
          <t>A anual convertida para o mês, em juros compostos.</t>
        </is>
      </c>
    </row>
    <row r="23">
      <c r="B23" s="2" t="inlineStr">
        <is>
          <t>Como os valores estão em reais de hoje, projetar pela taxa real dispensa corrigir</t>
        </is>
      </c>
    </row>
    <row r="24">
      <c r="B24" s="2" t="inlineStr">
        <is>
          <t>cada valor pela inflação. A conversão para valores de face está em cada aba de estratégia.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8" customWidth="1" min="4" max="4"/>
    <col width="58" customWidth="1" min="5" max="5"/>
    <col width="3" customWidth="1" min="6" max="6"/>
  </cols>
  <sheetData>
    <row r="2" ht="26" customHeight="1">
      <c r="B2" s="1" t="inlineStr">
        <is>
          <t>Estratégia 1 · Renda perpétua</t>
        </is>
      </c>
      <c r="C2" s="1" t="n"/>
      <c r="D2" s="1" t="n"/>
      <c r="E2" s="1" t="n"/>
      <c r="F2" s="1" t="n"/>
    </row>
    <row r="3">
      <c r="B3" s="2" t="inlineStr">
        <is>
          <t>Você vive só dos rendimentos. O patrimônio fica intacto para sempre e vira herança.</t>
        </is>
      </c>
    </row>
    <row r="5">
      <c r="B5" s="12" t="inlineStr">
        <is>
          <t>O QUE VOCÊ QUER</t>
        </is>
      </c>
      <c r="C5" s="13" t="n"/>
      <c r="D5" s="13" t="n"/>
      <c r="E5" s="13" t="n"/>
    </row>
    <row r="6">
      <c r="B6" s="4" t="inlineStr">
        <is>
          <t>Despesa mensal desejada</t>
        </is>
      </c>
      <c r="D6" s="15" t="n">
        <v>5000</v>
      </c>
      <c r="E6" s="2" t="inlineStr">
        <is>
          <t>Em reais de hoje.</t>
        </is>
      </c>
    </row>
    <row r="7">
      <c r="B7" s="4" t="inlineStr">
        <is>
          <t>Taxa de saque anual</t>
        </is>
      </c>
      <c r="D7" s="18" t="n">
        <v>0.04</v>
      </c>
      <c r="E7" s="2" t="inlineStr">
        <is>
          <t>4% é o padrão do Trinity Study. Para o Brasil, 3% a 3,5% dá mais margem.</t>
        </is>
      </c>
    </row>
    <row r="8">
      <c r="B8" s="4" t="inlineStr">
        <is>
          <t>Despesa anual</t>
        </is>
      </c>
      <c r="D8" s="21">
        <f>Desp_Mensal*12</f>
        <v/>
      </c>
    </row>
    <row r="9">
      <c r="B9" s="4" t="inlineStr">
        <is>
          <t>Múltiplo necessário</t>
        </is>
      </c>
      <c r="D9" s="22">
        <f>IF(Taxa_Saque=0,0,1/Taxa_Saque)</f>
        <v/>
      </c>
      <c r="E9" s="2" t="inlineStr">
        <is>
          <t>1 ÷ taxa de saque. Com 4%, o clássico 25× a despesa anual.</t>
        </is>
      </c>
    </row>
    <row r="11">
      <c r="B11" s="12" t="inlineStr">
        <is>
          <t>RESULTADO</t>
        </is>
      </c>
      <c r="C11" s="13" t="n"/>
      <c r="D11" s="13" t="n"/>
      <c r="E11" s="13" t="n"/>
    </row>
    <row r="12">
      <c r="B12" s="4" t="inlineStr">
        <is>
          <t>PATRIMÔNIO NECESSÁRIO</t>
        </is>
      </c>
      <c r="D12" s="23">
        <f>IF(Taxa_Saque=0,0,Desp_Anual/Taxa_Saque)</f>
        <v/>
      </c>
      <c r="E12" s="2" t="inlineStr">
        <is>
          <t>Despesa anual ÷ taxa de saque.</t>
        </is>
      </c>
    </row>
    <row r="13">
      <c r="B13" s="4" t="inlineStr">
        <is>
          <t>APORTE MENSAL NECESSÁRIO</t>
        </is>
      </c>
      <c r="D13" s="23">
        <f>IF(Meses_Acumulo&lt;=0,0,MAX(0,PMT(Taxa_Mensal,Meses_Acumulo,Patrimonio_Atual,-Meta_Perp,0)))</f>
        <v/>
      </c>
      <c r="E13" s="2" t="inlineStr">
        <is>
          <t>Pagamento que leva o patrimônio atual até a meta no prazo. Em reais de hoje.</t>
        </is>
      </c>
    </row>
    <row r="15">
      <c r="B15" s="12" t="inlineStr">
        <is>
          <t>DETALHES</t>
        </is>
      </c>
      <c r="C15" s="13" t="n"/>
      <c r="D15" s="13" t="n"/>
      <c r="E15" s="13" t="n"/>
    </row>
    <row r="16">
      <c r="B16" s="4" t="inlineStr">
        <is>
          <t>Prazo de acumulação</t>
        </is>
      </c>
      <c r="D16" s="24">
        <f>Anos_Acumulo</f>
        <v/>
      </c>
    </row>
    <row r="17">
      <c r="B17" s="4" t="inlineStr">
        <is>
          <t>Renda mensal vitalícia</t>
        </is>
      </c>
      <c r="D17" s="25">
        <f>Desp_Mensal</f>
        <v/>
      </c>
      <c r="E17" s="2" t="inlineStr">
        <is>
          <t>Sem nunca tocar no principal.</t>
        </is>
      </c>
    </row>
    <row r="18">
      <c r="B18" s="4" t="inlineStr">
        <is>
          <t>Patrimônio projetado na data-alvo</t>
        </is>
      </c>
      <c r="D18" s="25">
        <f>FV(Taxa_Mensal,Meses_Acumulo,-Aporte_Perp,-Patrimonio_Atual,0)</f>
        <v/>
      </c>
      <c r="E18" s="2" t="inlineStr">
        <is>
          <t>Confere com a meta acima — é a prova de que o aporte fecha a conta.</t>
        </is>
      </c>
    </row>
    <row r="19">
      <c r="B19" s="4" t="inlineStr">
        <is>
          <t>Total que você vai aportar</t>
        </is>
      </c>
      <c r="D19" s="25">
        <f>Patrimonio_Atual+Aporte_Perp*Meses_Acumulo</f>
        <v/>
      </c>
      <c r="E19" s="2" t="inlineStr">
        <is>
          <t>Patrimônio de hoje mais a soma dos aportes.</t>
        </is>
      </c>
    </row>
    <row r="20">
      <c r="B20" s="4" t="inlineStr">
        <is>
          <t>Juros reais gerados</t>
        </is>
      </c>
      <c r="D20" s="25">
        <f>MAX(0,Perp_Projetado-Patrimonio_Atual-Aporte_Perp*Meses_Acumulo)</f>
        <v/>
      </c>
      <c r="E20" s="2" t="inlineStr">
        <is>
          <t>A parte do patrimônio final que não saiu do seu bolso.</t>
        </is>
      </c>
    </row>
    <row r="21">
      <c r="B21" s="4" t="inlineStr">
        <is>
          <t>Múltiplo de despesas hoje</t>
        </is>
      </c>
      <c r="D21" s="22">
        <f>IF(Desp_Anual=0,0,Patrimonio_Atual/Desp_Anual)</f>
        <v/>
      </c>
      <c r="E21" s="2" t="inlineStr">
        <is>
          <t>Quantos anos de despesa o seu patrimônio atual já cobre.</t>
        </is>
      </c>
    </row>
    <row r="22">
      <c r="B22" s="4" t="inlineStr">
        <is>
          <t>Se consumisse o patrimônio em 30 anos</t>
        </is>
      </c>
      <c r="D22" s="25">
        <f>PV(Taxa_Mensal,360,-Desp_Mensal,0,1)</f>
        <v/>
      </c>
      <c r="E22" s="2" t="inlineStr">
        <is>
          <t>A mesma renda, gastando o principal: veja a aba Consumir Patrimônio.</t>
        </is>
      </c>
    </row>
    <row r="23">
      <c r="B23" s="4" t="inlineStr">
        <is>
          <t>Quanto isso é mais barato</t>
        </is>
      </c>
      <c r="D23" s="26">
        <f>IF(Meta_Perp=0,0,1-Perp_Alternativa/Meta_Perp)</f>
        <v/>
      </c>
    </row>
    <row r="25">
      <c r="B25" s="12" t="inlineStr">
        <is>
          <t>COMPARAÇÃO COM O APORTE QUE VOCÊ JÁ FAZ</t>
        </is>
      </c>
      <c r="C25" s="13" t="n"/>
      <c r="D25" s="13" t="n"/>
      <c r="E25" s="13" t="n"/>
    </row>
    <row r="26">
      <c r="B26" s="4" t="inlineStr">
        <is>
          <t>Você chegaria com</t>
        </is>
      </c>
      <c r="D26" s="25">
        <f>FV(Taxa_Mensal,Meses_Acumulo,-Aporte_Atual,-Patrimonio_Atual,0)</f>
        <v/>
      </c>
      <c r="E26" s="2" t="inlineStr">
        <is>
          <t>Mantendo o aporte informado na aba Premissas.</t>
        </is>
      </c>
    </row>
    <row r="27">
      <c r="B27" s="4" t="inlineStr">
        <is>
          <t>Diferença para a meta</t>
        </is>
      </c>
      <c r="D27" s="25">
        <f>Perp_Com_Aporte_Atual-Meta_Perp</f>
        <v/>
      </c>
      <c r="E27" s="2" t="inlineStr">
        <is>
          <t>Negativo significa que falta.</t>
        </is>
      </c>
    </row>
    <row r="28">
      <c r="B28" s="4" t="inlineStr">
        <is>
          <t>Falta aportar por mês</t>
        </is>
      </c>
      <c r="D28" s="25">
        <f>MAX(0,Aporte_Perp-Aporte_Atual)</f>
        <v/>
      </c>
    </row>
    <row r="30">
      <c r="B30" s="12" t="inlineStr">
        <is>
          <t>OS MESMOS NÚMEROS EM VALORES DE FACE</t>
        </is>
      </c>
      <c r="C30" s="13" t="n"/>
      <c r="D30" s="13" t="n"/>
      <c r="E30" s="13" t="n"/>
    </row>
    <row r="31">
      <c r="B31" s="4" t="inlineStr">
        <is>
          <t>Fator de correção do período</t>
        </is>
      </c>
      <c r="D31" s="27">
        <f>(1+Inflacao)^Anos_Acumulo</f>
        <v/>
      </c>
      <c r="E31" s="2" t="inlineStr">
        <is>
          <t>Quanto os preços sobem entre hoje e a aposentadoria.</t>
        </is>
      </c>
    </row>
    <row r="32">
      <c r="B32" s="4" t="inlineStr">
        <is>
          <t>Despesa mensal na data-alvo</t>
        </is>
      </c>
      <c r="D32" s="25">
        <f>Desp_Mensal*Perp_Fator</f>
        <v/>
      </c>
      <c r="E32" s="2" t="inlineStr">
        <is>
          <t>O mesmo padrão de vida, no dinheiro daquela data.</t>
        </is>
      </c>
    </row>
    <row r="33">
      <c r="B33" s="4" t="inlineStr">
        <is>
          <t>Patrimônio necessário na data-alvo</t>
        </is>
      </c>
      <c r="D33" s="25">
        <f>Meta_Perp*Perp_Fator</f>
        <v/>
      </c>
    </row>
    <row r="34">
      <c r="B34" s="4" t="inlineStr">
        <is>
          <t>Aporte no último ano</t>
        </is>
      </c>
      <c r="D34" s="25">
        <f>Aporte_Perp*Perp_Fator</f>
        <v/>
      </c>
      <c r="E34" s="2" t="inlineStr">
        <is>
          <t>O aporte precisa subir com a inflação todo ano até chegar aqui.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" customWidth="1" min="3" max="3"/>
    <col width="18" customWidth="1" min="4" max="4"/>
    <col width="58" customWidth="1" min="5" max="5"/>
    <col width="3" customWidth="1" min="6" max="6"/>
  </cols>
  <sheetData>
    <row r="2" ht="26" customHeight="1">
      <c r="B2" s="1" t="inlineStr">
        <is>
          <t>Estratégia 2 · Consumir o patrimônio</t>
        </is>
      </c>
      <c r="C2" s="1" t="n"/>
      <c r="D2" s="1" t="n"/>
      <c r="E2" s="1" t="n"/>
      <c r="F2" s="1" t="n"/>
    </row>
    <row r="3">
      <c r="B3" s="2" t="inlineStr">
        <is>
          <t>Você gasta o principal ao longo do prazo que definir, terminando sem nada ou com herança.</t>
        </is>
      </c>
    </row>
    <row r="5">
      <c r="B5" s="12" t="inlineStr">
        <is>
          <t>O QUE VOCÊ QUER</t>
        </is>
      </c>
      <c r="C5" s="13" t="n"/>
      <c r="D5" s="13" t="n"/>
      <c r="E5" s="13" t="n"/>
    </row>
    <row r="6">
      <c r="B6" s="4" t="inlineStr">
        <is>
          <t>Renda mensal desejada</t>
        </is>
      </c>
      <c r="D6" s="15" t="n">
        <v>10000</v>
      </c>
      <c r="E6" s="2" t="inlineStr">
        <is>
          <t>Em reais de hoje.</t>
        </is>
      </c>
    </row>
    <row r="7">
      <c r="B7" s="4" t="inlineStr">
        <is>
          <t>Por quantos anos quer essa renda</t>
        </is>
      </c>
      <c r="D7" s="14" t="n">
        <v>30</v>
      </c>
    </row>
    <row r="8">
      <c r="B8" s="4" t="inlineStr">
        <is>
          <t>Patrimônio a deixar no final</t>
        </is>
      </c>
      <c r="D8" s="15" t="n">
        <v>0</v>
      </c>
      <c r="E8" s="2" t="inlineStr">
        <is>
          <t>Zero consome tudo. Acima disso é o que sobra de herança, em reais de hoje.</t>
        </is>
      </c>
    </row>
    <row r="9">
      <c r="B9" s="4" t="inlineStr">
        <is>
          <t>Meses de renda</t>
        </is>
      </c>
      <c r="D9" s="17">
        <f>Duracao_Anos*12</f>
        <v/>
      </c>
    </row>
    <row r="10">
      <c r="B10" s="4" t="inlineStr">
        <is>
          <t>Idade ao fim do período</t>
        </is>
      </c>
      <c r="D10" s="24">
        <f>Idade_Alvo+Duracao_Anos</f>
        <v/>
      </c>
    </row>
    <row r="12">
      <c r="B12" s="12" t="inlineStr">
        <is>
          <t>RESULTADO</t>
        </is>
      </c>
      <c r="C12" s="13" t="n"/>
      <c r="D12" s="13" t="n"/>
      <c r="E12" s="13" t="n"/>
    </row>
    <row r="13">
      <c r="B13" s="4" t="inlineStr">
        <is>
          <t>PATRIMÔNIO NECESSÁRIO</t>
        </is>
      </c>
      <c r="D13" s="23">
        <f>PV(Taxa_Mensal,Meses_Renda,-Renda_Mensal,-Heranca,1)</f>
        <v/>
      </c>
      <c r="E13" s="2" t="inlineStr">
        <is>
          <t>Valor presente dos saques, feitos no início de cada mês, mais a herança descontada.</t>
        </is>
      </c>
    </row>
    <row r="14">
      <c r="B14" s="4" t="inlineStr">
        <is>
          <t>APORTE MENSAL NECESSÁRIO</t>
        </is>
      </c>
      <c r="D14" s="23">
        <f>IF(Meses_Acumulo&lt;=0,0,MAX(0,PMT(Taxa_Mensal,Meses_Acumulo,Patrimonio_Atual,-Meta_Cons,0)))</f>
        <v/>
      </c>
      <c r="E14" s="2" t="inlineStr">
        <is>
          <t>Pagamento que leva o patrimônio atual até a meta no prazo. Em reais de hoje.</t>
        </is>
      </c>
    </row>
    <row r="16">
      <c r="B16" s="12" t="inlineStr">
        <is>
          <t>DETALHES</t>
        </is>
      </c>
      <c r="C16" s="13" t="n"/>
      <c r="D16" s="13" t="n"/>
      <c r="E16" s="13" t="n"/>
    </row>
    <row r="17">
      <c r="B17" s="4" t="inlineStr">
        <is>
          <t>Prazo de acumulação</t>
        </is>
      </c>
      <c r="D17" s="24">
        <f>Anos_Acumulo</f>
        <v/>
      </c>
    </row>
    <row r="18">
      <c r="B18" s="4" t="inlineStr">
        <is>
          <t>Patrimônio projetado na data-alvo</t>
        </is>
      </c>
      <c r="D18" s="25">
        <f>FV(Taxa_Mensal,Meses_Acumulo,-Aporte_Cons,-Patrimonio_Atual,0)</f>
        <v/>
      </c>
      <c r="E18" s="2" t="inlineStr">
        <is>
          <t>Confere com a meta acima — é a prova de que o aporte fecha a conta.</t>
        </is>
      </c>
    </row>
    <row r="19">
      <c r="B19" s="4" t="inlineStr">
        <is>
          <t>Total que você vai sacar</t>
        </is>
      </c>
      <c r="D19" s="25">
        <f>Renda_Mensal*Meses_Renda</f>
        <v/>
      </c>
      <c r="E19" s="2" t="inlineStr">
        <is>
          <t>Soma dos saques, em reais de hoje.</t>
        </is>
      </c>
    </row>
    <row r="20">
      <c r="B20" s="4" t="inlineStr">
        <is>
          <t>Total que você vai aportar</t>
        </is>
      </c>
      <c r="D20" s="25">
        <f>Patrimonio_Atual+Aporte_Cons*Meses_Acumulo</f>
        <v/>
      </c>
    </row>
    <row r="21">
      <c r="B21" s="4" t="inlineStr">
        <is>
          <t>Juros reais gerados</t>
        </is>
      </c>
      <c r="D21" s="25">
        <f>MAX(0,Cons_Projetado-Patrimonio_Atual-Aporte_Cons*Meses_Acumulo)</f>
        <v/>
      </c>
    </row>
    <row r="22">
      <c r="B22" s="4" t="inlineStr">
        <is>
          <t>Taxa de saque no 1º ano</t>
        </is>
      </c>
      <c r="D22" s="26">
        <f>IF(Meta_Cons=0,0,Renda_Mensal*12/Meta_Cons)</f>
        <v/>
      </c>
      <c r="E22" s="2" t="inlineStr">
        <is>
          <t>Saque anual ÷ patrimônio na largada. Costuma ficar acima dos 4% da renda perpétua.</t>
        </is>
      </c>
    </row>
    <row r="23">
      <c r="B23" s="4" t="inlineStr">
        <is>
          <t>Se fosse renda perpétua</t>
        </is>
      </c>
      <c r="D23" s="25">
        <f>Renda_Mensal*12/0.04</f>
        <v/>
      </c>
      <c r="E23" s="2" t="inlineStr">
        <is>
          <t>A mesma renda para sempre, pela regra dos 4%.</t>
        </is>
      </c>
    </row>
    <row r="24">
      <c r="B24" s="4" t="inlineStr">
        <is>
          <t>Quanto consumir é mais barato</t>
        </is>
      </c>
      <c r="D24" s="26">
        <f>IF(Cons_Perpetua=0,0,1-Meta_Cons/Cons_Perpetua)</f>
        <v/>
      </c>
    </row>
    <row r="26">
      <c r="B26" s="12" t="inlineStr">
        <is>
          <t>COMPARAÇÃO COM O APORTE QUE VOCÊ JÁ FAZ</t>
        </is>
      </c>
      <c r="C26" s="13" t="n"/>
      <c r="D26" s="13" t="n"/>
      <c r="E26" s="13" t="n"/>
    </row>
    <row r="27">
      <c r="B27" s="4" t="inlineStr">
        <is>
          <t>Você chegaria com</t>
        </is>
      </c>
      <c r="D27" s="25">
        <f>FV(Taxa_Mensal,Meses_Acumulo,-Aporte_Atual,-Patrimonio_Atual,0)</f>
        <v/>
      </c>
      <c r="E27" s="2" t="inlineStr">
        <is>
          <t>Mantendo o aporte informado na aba Premissas.</t>
        </is>
      </c>
    </row>
    <row r="28">
      <c r="B28" s="4" t="inlineStr">
        <is>
          <t>Diferença para a meta</t>
        </is>
      </c>
      <c r="D28" s="25">
        <f>Cons_Com_Aporte_Atual-Meta_Cons</f>
        <v/>
      </c>
      <c r="E28" s="2" t="inlineStr">
        <is>
          <t>Negativo significa que falta.</t>
        </is>
      </c>
    </row>
    <row r="29">
      <c r="B29" s="4" t="inlineStr">
        <is>
          <t>Renda que esse ritmo sustenta</t>
        </is>
      </c>
      <c r="D29" s="25">
        <f>IF(Meses_Renda&lt;=0,0,IF(ABS(Taxa_Mensal)&lt;0.000000001,MAX(0,(Cons_Com_Aporte_Atual-Heranca)/Meses_Renda),MAX(0,(Cons_Com_Aporte_Atual-Heranca/(1+Taxa_Mensal)^Meses_Renda)*Taxa_Mensal/((1-(1+Taxa_Mensal)^-Meses_Renda)*(1+Taxa_Mensal)))))</f>
        <v/>
      </c>
      <c r="E29" s="2" t="inlineStr">
        <is>
          <t>Quanto daria para sacar por mês, pelo mesmo prazo, com o aporte atual.</t>
        </is>
      </c>
    </row>
    <row r="31">
      <c r="B31" s="12" t="inlineStr">
        <is>
          <t>OS MESMOS NÚMEROS EM VALORES DE FACE</t>
        </is>
      </c>
      <c r="C31" s="13" t="n"/>
      <c r="D31" s="13" t="n"/>
      <c r="E31" s="13" t="n"/>
    </row>
    <row r="32">
      <c r="B32" s="4" t="inlineStr">
        <is>
          <t>Fator de correção do período</t>
        </is>
      </c>
      <c r="D32" s="27">
        <f>(1+Inflacao)^Anos_Acumulo</f>
        <v/>
      </c>
      <c r="E32" s="2" t="inlineStr">
        <is>
          <t>Quanto os preços sobem entre hoje e a aposentadoria.</t>
        </is>
      </c>
    </row>
    <row r="33">
      <c r="B33" s="4" t="inlineStr">
        <is>
          <t>Renda mensal na data-alvo</t>
        </is>
      </c>
      <c r="D33" s="25">
        <f>Renda_Mensal*Cons_Fator</f>
        <v/>
      </c>
      <c r="E33" s="2" t="inlineStr">
        <is>
          <t>O mesmo padrão de vida, no dinheiro daquela data.</t>
        </is>
      </c>
    </row>
    <row r="34">
      <c r="B34" s="4" t="inlineStr">
        <is>
          <t>Patrimônio necessário na data-alvo</t>
        </is>
      </c>
      <c r="D34" s="25">
        <f>Meta_Cons*Cons_Fator</f>
        <v/>
      </c>
    </row>
    <row r="35">
      <c r="B35" s="4" t="inlineStr">
        <is>
          <t>Aporte no último ano</t>
        </is>
      </c>
      <c r="D35" s="25">
        <f>Aporte_Cons*Cons_Fator</f>
        <v/>
      </c>
      <c r="E35" s="2" t="inlineStr">
        <is>
          <t>O aporte precisa subir com a inflação todo ano até chegar aqui.</t>
        </is>
      </c>
    </row>
    <row r="36">
      <c r="B36" s="4" t="inlineStr">
        <is>
          <t>Renda no último ano da aposentadoria</t>
        </is>
      </c>
      <c r="D36" s="25">
        <f>Renda_Mensal*(1+Inflacao)^(Anos_Acumulo+Duracao_Anos)</f>
        <v/>
      </c>
      <c r="E36" s="2" t="inlineStr">
        <is>
          <t>O saque não para de subir depois que você se aposenta.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9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20" customWidth="1" min="10" max="10"/>
  </cols>
  <sheetData>
    <row r="2" ht="26" customHeight="1">
      <c r="B2" s="1" t="inlineStr">
        <is>
          <t>Projeção ano a ano</t>
        </is>
      </c>
      <c r="C2" s="1" t="n"/>
      <c r="D2" s="1" t="n"/>
      <c r="E2" s="1" t="n"/>
      <c r="F2" s="1" t="n"/>
    </row>
    <row r="3">
      <c r="B3" s="2" t="inlineStr">
        <is>
          <t>Mesma conta da tabela do site: cada ano compõe 12 meses, um a um.</t>
        </is>
      </c>
    </row>
    <row r="5">
      <c r="B5" s="11" t="inlineStr">
        <is>
          <t>Estratégia</t>
        </is>
      </c>
      <c r="C5" s="28" t="n">
        <v>2</v>
      </c>
      <c r="D5" s="2" t="inlineStr">
        <is>
          <t>1 = renda perpétua    ·    2 = consumir o patrimônio</t>
        </is>
      </c>
    </row>
    <row r="7">
      <c r="B7" s="29" t="inlineStr">
        <is>
          <t>Aporte mensal do plano</t>
        </is>
      </c>
      <c r="D7" s="21">
        <f>IF(Modo=1,Aporte_Perp,Aporte_Cons)</f>
        <v/>
      </c>
      <c r="E7" s="29" t="inlineStr">
        <is>
          <t>Saque mensal</t>
        </is>
      </c>
      <c r="F7" s="21">
        <f>IF(Modo=1,Desp_Mensal,Renda_Mensal)</f>
        <v/>
      </c>
      <c r="G7" s="29" t="inlineStr">
        <is>
          <t>Anos de renda</t>
        </is>
      </c>
      <c r="H7" s="30">
        <f>IF(Modo=1,30,Duracao_Anos)</f>
        <v/>
      </c>
      <c r="I7" s="29" t="inlineStr">
        <is>
          <t>Patrimônio-alvo</t>
        </is>
      </c>
      <c r="J7" s="21">
        <f>IF(Modo=1,Meta_Perp,Meta_Cons)</f>
        <v/>
      </c>
    </row>
    <row r="8">
      <c r="B8" s="31" t="inlineStr">
        <is>
          <t>Na renda perpétua a planilha projeta 30 anos de saques para mostrar que, com a taxa de saque abaixo da taxa real, o patrimônio continua crescendo.</t>
        </is>
      </c>
    </row>
    <row r="10" ht="30" customHeight="1">
      <c r="B10" s="32" t="inlineStr">
        <is>
          <t>Ano</t>
        </is>
      </c>
      <c r="C10" s="32" t="inlineStr">
        <is>
          <t>Idade</t>
        </is>
      </c>
      <c r="D10" s="32" t="inlineStr">
        <is>
          <t>Fase</t>
        </is>
      </c>
      <c r="E10" s="32" t="inlineStr">
        <is>
          <t>Saldo inicial</t>
        </is>
      </c>
      <c r="F10" s="32" t="inlineStr">
        <is>
          <t>Aportes no ano</t>
        </is>
      </c>
      <c r="G10" s="32" t="inlineStr">
        <is>
          <t>Saques no ano</t>
        </is>
      </c>
      <c r="H10" s="32" t="inlineStr">
        <is>
          <t>Rendimento real</t>
        </is>
      </c>
      <c r="I10" s="32" t="inlineStr">
        <is>
          <t>Saldo final</t>
        </is>
      </c>
      <c r="J10" s="32" t="inlineStr">
        <is>
          <t>Saldo em valor de face</t>
        </is>
      </c>
    </row>
    <row r="11">
      <c r="B11" s="33" t="n">
        <v>1</v>
      </c>
      <c r="C11" s="34">
        <f>Idade_Hoje+B11</f>
        <v/>
      </c>
      <c r="D11" s="35">
        <f>IF(B11&lt;=Anos_Acumulo,"Acumulação",IF(B11&lt;=Anos_Acumulo+$H$7,"Renda","—"))</f>
        <v/>
      </c>
      <c r="E11" s="36">
        <f>Patrimonio_Atual</f>
        <v/>
      </c>
      <c r="F11" s="36">
        <f>IF(D11="Acumulação",$D$7*12,IF(D11="—","",0))</f>
        <v/>
      </c>
      <c r="G11" s="36">
        <f>IF(D11="Renda",$F$7*12,IF(D11="—","",0))</f>
        <v/>
      </c>
      <c r="H11" s="36">
        <f>IF(D11="—","",I11-E11-F11+G11)</f>
        <v/>
      </c>
      <c r="I11" s="37">
        <f>IF(D11="—","",IF(D11="Acumulação",FV(Taxa_Mensal,12,-$D$7,-E11,0),MAX(0,FV(Taxa_Mensal,12,$F$7,-E11,1))))</f>
        <v/>
      </c>
      <c r="J11" s="38">
        <f>IF(D11="—","",I11*(1+Inflacao)^B11)</f>
        <v/>
      </c>
    </row>
    <row r="12">
      <c r="B12" s="33">
        <f>B11+1</f>
        <v/>
      </c>
      <c r="C12" s="34">
        <f>Idade_Hoje+B12</f>
        <v/>
      </c>
      <c r="D12" s="35">
        <f>IF(B12&lt;=Anos_Acumulo,"Acumulação",IF(B12&lt;=Anos_Acumulo+$H$7,"Renda","—"))</f>
        <v/>
      </c>
      <c r="E12" s="36">
        <f>IF(D12="—","",I11)</f>
        <v/>
      </c>
      <c r="F12" s="36">
        <f>IF(D12="Acumulação",$D$7*12,IF(D12="—","",0))</f>
        <v/>
      </c>
      <c r="G12" s="36">
        <f>IF(D12="Renda",$F$7*12,IF(D12="—","",0))</f>
        <v/>
      </c>
      <c r="H12" s="36">
        <f>IF(D12="—","",I12-E12-F12+G12)</f>
        <v/>
      </c>
      <c r="I12" s="37">
        <f>IF(D12="—","",IF(D12="Acumulação",FV(Taxa_Mensal,12,-$D$7,-E12,0),MAX(0,FV(Taxa_Mensal,12,$F$7,-E12,1))))</f>
        <v/>
      </c>
      <c r="J12" s="38">
        <f>IF(D12="—","",I12*(1+Inflacao)^B12)</f>
        <v/>
      </c>
    </row>
    <row r="13">
      <c r="B13" s="33">
        <f>B12+1</f>
        <v/>
      </c>
      <c r="C13" s="34">
        <f>Idade_Hoje+B13</f>
        <v/>
      </c>
      <c r="D13" s="35">
        <f>IF(B13&lt;=Anos_Acumulo,"Acumulação",IF(B13&lt;=Anos_Acumulo+$H$7,"Renda","—"))</f>
        <v/>
      </c>
      <c r="E13" s="36">
        <f>IF(D13="—","",I12)</f>
        <v/>
      </c>
      <c r="F13" s="36">
        <f>IF(D13="Acumulação",$D$7*12,IF(D13="—","",0))</f>
        <v/>
      </c>
      <c r="G13" s="36">
        <f>IF(D13="Renda",$F$7*12,IF(D13="—","",0))</f>
        <v/>
      </c>
      <c r="H13" s="36">
        <f>IF(D13="—","",I13-E13-F13+G13)</f>
        <v/>
      </c>
      <c r="I13" s="37">
        <f>IF(D13="—","",IF(D13="Acumulação",FV(Taxa_Mensal,12,-$D$7,-E13,0),MAX(0,FV(Taxa_Mensal,12,$F$7,-E13,1))))</f>
        <v/>
      </c>
      <c r="J13" s="38">
        <f>IF(D13="—","",I13*(1+Inflacao)^B13)</f>
        <v/>
      </c>
    </row>
    <row r="14">
      <c r="B14" s="33">
        <f>B13+1</f>
        <v/>
      </c>
      <c r="C14" s="34">
        <f>Idade_Hoje+B14</f>
        <v/>
      </c>
      <c r="D14" s="35">
        <f>IF(B14&lt;=Anos_Acumulo,"Acumulação",IF(B14&lt;=Anos_Acumulo+$H$7,"Renda","—"))</f>
        <v/>
      </c>
      <c r="E14" s="36">
        <f>IF(D14="—","",I13)</f>
        <v/>
      </c>
      <c r="F14" s="36">
        <f>IF(D14="Acumulação",$D$7*12,IF(D14="—","",0))</f>
        <v/>
      </c>
      <c r="G14" s="36">
        <f>IF(D14="Renda",$F$7*12,IF(D14="—","",0))</f>
        <v/>
      </c>
      <c r="H14" s="36">
        <f>IF(D14="—","",I14-E14-F14+G14)</f>
        <v/>
      </c>
      <c r="I14" s="37">
        <f>IF(D14="—","",IF(D14="Acumulação",FV(Taxa_Mensal,12,-$D$7,-E14,0),MAX(0,FV(Taxa_Mensal,12,$F$7,-E14,1))))</f>
        <v/>
      </c>
      <c r="J14" s="38">
        <f>IF(D14="—","",I14*(1+Inflacao)^B14)</f>
        <v/>
      </c>
    </row>
    <row r="15">
      <c r="B15" s="33">
        <f>B14+1</f>
        <v/>
      </c>
      <c r="C15" s="34">
        <f>Idade_Hoje+B15</f>
        <v/>
      </c>
      <c r="D15" s="35">
        <f>IF(B15&lt;=Anos_Acumulo,"Acumulação",IF(B15&lt;=Anos_Acumulo+$H$7,"Renda","—"))</f>
        <v/>
      </c>
      <c r="E15" s="36">
        <f>IF(D15="—","",I14)</f>
        <v/>
      </c>
      <c r="F15" s="36">
        <f>IF(D15="Acumulação",$D$7*12,IF(D15="—","",0))</f>
        <v/>
      </c>
      <c r="G15" s="36">
        <f>IF(D15="Renda",$F$7*12,IF(D15="—","",0))</f>
        <v/>
      </c>
      <c r="H15" s="36">
        <f>IF(D15="—","",I15-E15-F15+G15)</f>
        <v/>
      </c>
      <c r="I15" s="37">
        <f>IF(D15="—","",IF(D15="Acumulação",FV(Taxa_Mensal,12,-$D$7,-E15,0),MAX(0,FV(Taxa_Mensal,12,$F$7,-E15,1))))</f>
        <v/>
      </c>
      <c r="J15" s="38">
        <f>IF(D15="—","",I15*(1+Inflacao)^B15)</f>
        <v/>
      </c>
    </row>
    <row r="16">
      <c r="B16" s="33">
        <f>B15+1</f>
        <v/>
      </c>
      <c r="C16" s="34">
        <f>Idade_Hoje+B16</f>
        <v/>
      </c>
      <c r="D16" s="35">
        <f>IF(B16&lt;=Anos_Acumulo,"Acumulação",IF(B16&lt;=Anos_Acumulo+$H$7,"Renda","—"))</f>
        <v/>
      </c>
      <c r="E16" s="36">
        <f>IF(D16="—","",I15)</f>
        <v/>
      </c>
      <c r="F16" s="36">
        <f>IF(D16="Acumulação",$D$7*12,IF(D16="—","",0))</f>
        <v/>
      </c>
      <c r="G16" s="36">
        <f>IF(D16="Renda",$F$7*12,IF(D16="—","",0))</f>
        <v/>
      </c>
      <c r="H16" s="36">
        <f>IF(D16="—","",I16-E16-F16+G16)</f>
        <v/>
      </c>
      <c r="I16" s="37">
        <f>IF(D16="—","",IF(D16="Acumulação",FV(Taxa_Mensal,12,-$D$7,-E16,0),MAX(0,FV(Taxa_Mensal,12,$F$7,-E16,1))))</f>
        <v/>
      </c>
      <c r="J16" s="38">
        <f>IF(D16="—","",I16*(1+Inflacao)^B16)</f>
        <v/>
      </c>
    </row>
    <row r="17">
      <c r="B17" s="33">
        <f>B16+1</f>
        <v/>
      </c>
      <c r="C17" s="34">
        <f>Idade_Hoje+B17</f>
        <v/>
      </c>
      <c r="D17" s="35">
        <f>IF(B17&lt;=Anos_Acumulo,"Acumulação",IF(B17&lt;=Anos_Acumulo+$H$7,"Renda","—"))</f>
        <v/>
      </c>
      <c r="E17" s="36">
        <f>IF(D17="—","",I16)</f>
        <v/>
      </c>
      <c r="F17" s="36">
        <f>IF(D17="Acumulação",$D$7*12,IF(D17="—","",0))</f>
        <v/>
      </c>
      <c r="G17" s="36">
        <f>IF(D17="Renda",$F$7*12,IF(D17="—","",0))</f>
        <v/>
      </c>
      <c r="H17" s="36">
        <f>IF(D17="—","",I17-E17-F17+G17)</f>
        <v/>
      </c>
      <c r="I17" s="37">
        <f>IF(D17="—","",IF(D17="Acumulação",FV(Taxa_Mensal,12,-$D$7,-E17,0),MAX(0,FV(Taxa_Mensal,12,$F$7,-E17,1))))</f>
        <v/>
      </c>
      <c r="J17" s="38">
        <f>IF(D17="—","",I17*(1+Inflacao)^B17)</f>
        <v/>
      </c>
    </row>
    <row r="18">
      <c r="B18" s="33">
        <f>B17+1</f>
        <v/>
      </c>
      <c r="C18" s="34">
        <f>Idade_Hoje+B18</f>
        <v/>
      </c>
      <c r="D18" s="35">
        <f>IF(B18&lt;=Anos_Acumulo,"Acumulação",IF(B18&lt;=Anos_Acumulo+$H$7,"Renda","—"))</f>
        <v/>
      </c>
      <c r="E18" s="36">
        <f>IF(D18="—","",I17)</f>
        <v/>
      </c>
      <c r="F18" s="36">
        <f>IF(D18="Acumulação",$D$7*12,IF(D18="—","",0))</f>
        <v/>
      </c>
      <c r="G18" s="36">
        <f>IF(D18="Renda",$F$7*12,IF(D18="—","",0))</f>
        <v/>
      </c>
      <c r="H18" s="36">
        <f>IF(D18="—","",I18-E18-F18+G18)</f>
        <v/>
      </c>
      <c r="I18" s="37">
        <f>IF(D18="—","",IF(D18="Acumulação",FV(Taxa_Mensal,12,-$D$7,-E18,0),MAX(0,FV(Taxa_Mensal,12,$F$7,-E18,1))))</f>
        <v/>
      </c>
      <c r="J18" s="38">
        <f>IF(D18="—","",I18*(1+Inflacao)^B18)</f>
        <v/>
      </c>
    </row>
    <row r="19">
      <c r="B19" s="33">
        <f>B18+1</f>
        <v/>
      </c>
      <c r="C19" s="34">
        <f>Idade_Hoje+B19</f>
        <v/>
      </c>
      <c r="D19" s="35">
        <f>IF(B19&lt;=Anos_Acumulo,"Acumulação",IF(B19&lt;=Anos_Acumulo+$H$7,"Renda","—"))</f>
        <v/>
      </c>
      <c r="E19" s="36">
        <f>IF(D19="—","",I18)</f>
        <v/>
      </c>
      <c r="F19" s="36">
        <f>IF(D19="Acumulação",$D$7*12,IF(D19="—","",0))</f>
        <v/>
      </c>
      <c r="G19" s="36">
        <f>IF(D19="Renda",$F$7*12,IF(D19="—","",0))</f>
        <v/>
      </c>
      <c r="H19" s="36">
        <f>IF(D19="—","",I19-E19-F19+G19)</f>
        <v/>
      </c>
      <c r="I19" s="37">
        <f>IF(D19="—","",IF(D19="Acumulação",FV(Taxa_Mensal,12,-$D$7,-E19,0),MAX(0,FV(Taxa_Mensal,12,$F$7,-E19,1))))</f>
        <v/>
      </c>
      <c r="J19" s="38">
        <f>IF(D19="—","",I19*(1+Inflacao)^B19)</f>
        <v/>
      </c>
    </row>
    <row r="20">
      <c r="B20" s="33">
        <f>B19+1</f>
        <v/>
      </c>
      <c r="C20" s="34">
        <f>Idade_Hoje+B20</f>
        <v/>
      </c>
      <c r="D20" s="35">
        <f>IF(B20&lt;=Anos_Acumulo,"Acumulação",IF(B20&lt;=Anos_Acumulo+$H$7,"Renda","—"))</f>
        <v/>
      </c>
      <c r="E20" s="36">
        <f>IF(D20="—","",I19)</f>
        <v/>
      </c>
      <c r="F20" s="36">
        <f>IF(D20="Acumulação",$D$7*12,IF(D20="—","",0))</f>
        <v/>
      </c>
      <c r="G20" s="36">
        <f>IF(D20="Renda",$F$7*12,IF(D20="—","",0))</f>
        <v/>
      </c>
      <c r="H20" s="36">
        <f>IF(D20="—","",I20-E20-F20+G20)</f>
        <v/>
      </c>
      <c r="I20" s="37">
        <f>IF(D20="—","",IF(D20="Acumulação",FV(Taxa_Mensal,12,-$D$7,-E20,0),MAX(0,FV(Taxa_Mensal,12,$F$7,-E20,1))))</f>
        <v/>
      </c>
      <c r="J20" s="38">
        <f>IF(D20="—","",I20*(1+Inflacao)^B20)</f>
        <v/>
      </c>
    </row>
    <row r="21">
      <c r="B21" s="33">
        <f>B20+1</f>
        <v/>
      </c>
      <c r="C21" s="34">
        <f>Idade_Hoje+B21</f>
        <v/>
      </c>
      <c r="D21" s="35">
        <f>IF(B21&lt;=Anos_Acumulo,"Acumulação",IF(B21&lt;=Anos_Acumulo+$H$7,"Renda","—"))</f>
        <v/>
      </c>
      <c r="E21" s="36">
        <f>IF(D21="—","",I20)</f>
        <v/>
      </c>
      <c r="F21" s="36">
        <f>IF(D21="Acumulação",$D$7*12,IF(D21="—","",0))</f>
        <v/>
      </c>
      <c r="G21" s="36">
        <f>IF(D21="Renda",$F$7*12,IF(D21="—","",0))</f>
        <v/>
      </c>
      <c r="H21" s="36">
        <f>IF(D21="—","",I21-E21-F21+G21)</f>
        <v/>
      </c>
      <c r="I21" s="37">
        <f>IF(D21="—","",IF(D21="Acumulação",FV(Taxa_Mensal,12,-$D$7,-E21,0),MAX(0,FV(Taxa_Mensal,12,$F$7,-E21,1))))</f>
        <v/>
      </c>
      <c r="J21" s="38">
        <f>IF(D21="—","",I21*(1+Inflacao)^B21)</f>
        <v/>
      </c>
    </row>
    <row r="22">
      <c r="B22" s="33">
        <f>B21+1</f>
        <v/>
      </c>
      <c r="C22" s="34">
        <f>Idade_Hoje+B22</f>
        <v/>
      </c>
      <c r="D22" s="35">
        <f>IF(B22&lt;=Anos_Acumulo,"Acumulação",IF(B22&lt;=Anos_Acumulo+$H$7,"Renda","—"))</f>
        <v/>
      </c>
      <c r="E22" s="36">
        <f>IF(D22="—","",I21)</f>
        <v/>
      </c>
      <c r="F22" s="36">
        <f>IF(D22="Acumulação",$D$7*12,IF(D22="—","",0))</f>
        <v/>
      </c>
      <c r="G22" s="36">
        <f>IF(D22="Renda",$F$7*12,IF(D22="—","",0))</f>
        <v/>
      </c>
      <c r="H22" s="36">
        <f>IF(D22="—","",I22-E22-F22+G22)</f>
        <v/>
      </c>
      <c r="I22" s="37">
        <f>IF(D22="—","",IF(D22="Acumulação",FV(Taxa_Mensal,12,-$D$7,-E22,0),MAX(0,FV(Taxa_Mensal,12,$F$7,-E22,1))))</f>
        <v/>
      </c>
      <c r="J22" s="38">
        <f>IF(D22="—","",I22*(1+Inflacao)^B22)</f>
        <v/>
      </c>
    </row>
    <row r="23">
      <c r="B23" s="33">
        <f>B22+1</f>
        <v/>
      </c>
      <c r="C23" s="34">
        <f>Idade_Hoje+B23</f>
        <v/>
      </c>
      <c r="D23" s="35">
        <f>IF(B23&lt;=Anos_Acumulo,"Acumulação",IF(B23&lt;=Anos_Acumulo+$H$7,"Renda","—"))</f>
        <v/>
      </c>
      <c r="E23" s="36">
        <f>IF(D23="—","",I22)</f>
        <v/>
      </c>
      <c r="F23" s="36">
        <f>IF(D23="Acumulação",$D$7*12,IF(D23="—","",0))</f>
        <v/>
      </c>
      <c r="G23" s="36">
        <f>IF(D23="Renda",$F$7*12,IF(D23="—","",0))</f>
        <v/>
      </c>
      <c r="H23" s="36">
        <f>IF(D23="—","",I23-E23-F23+G23)</f>
        <v/>
      </c>
      <c r="I23" s="37">
        <f>IF(D23="—","",IF(D23="Acumulação",FV(Taxa_Mensal,12,-$D$7,-E23,0),MAX(0,FV(Taxa_Mensal,12,$F$7,-E23,1))))</f>
        <v/>
      </c>
      <c r="J23" s="38">
        <f>IF(D23="—","",I23*(1+Inflacao)^B23)</f>
        <v/>
      </c>
    </row>
    <row r="24">
      <c r="B24" s="33">
        <f>B23+1</f>
        <v/>
      </c>
      <c r="C24" s="34">
        <f>Idade_Hoje+B24</f>
        <v/>
      </c>
      <c r="D24" s="35">
        <f>IF(B24&lt;=Anos_Acumulo,"Acumulação",IF(B24&lt;=Anos_Acumulo+$H$7,"Renda","—"))</f>
        <v/>
      </c>
      <c r="E24" s="36">
        <f>IF(D24="—","",I23)</f>
        <v/>
      </c>
      <c r="F24" s="36">
        <f>IF(D24="Acumulação",$D$7*12,IF(D24="—","",0))</f>
        <v/>
      </c>
      <c r="G24" s="36">
        <f>IF(D24="Renda",$F$7*12,IF(D24="—","",0))</f>
        <v/>
      </c>
      <c r="H24" s="36">
        <f>IF(D24="—","",I24-E24-F24+G24)</f>
        <v/>
      </c>
      <c r="I24" s="37">
        <f>IF(D24="—","",IF(D24="Acumulação",FV(Taxa_Mensal,12,-$D$7,-E24,0),MAX(0,FV(Taxa_Mensal,12,$F$7,-E24,1))))</f>
        <v/>
      </c>
      <c r="J24" s="38">
        <f>IF(D24="—","",I24*(1+Inflacao)^B24)</f>
        <v/>
      </c>
    </row>
    <row r="25">
      <c r="B25" s="33">
        <f>B24+1</f>
        <v/>
      </c>
      <c r="C25" s="34">
        <f>Idade_Hoje+B25</f>
        <v/>
      </c>
      <c r="D25" s="35">
        <f>IF(B25&lt;=Anos_Acumulo,"Acumulação",IF(B25&lt;=Anos_Acumulo+$H$7,"Renda","—"))</f>
        <v/>
      </c>
      <c r="E25" s="36">
        <f>IF(D25="—","",I24)</f>
        <v/>
      </c>
      <c r="F25" s="36">
        <f>IF(D25="Acumulação",$D$7*12,IF(D25="—","",0))</f>
        <v/>
      </c>
      <c r="G25" s="36">
        <f>IF(D25="Renda",$F$7*12,IF(D25="—","",0))</f>
        <v/>
      </c>
      <c r="H25" s="36">
        <f>IF(D25="—","",I25-E25-F25+G25)</f>
        <v/>
      </c>
      <c r="I25" s="37">
        <f>IF(D25="—","",IF(D25="Acumulação",FV(Taxa_Mensal,12,-$D$7,-E25,0),MAX(0,FV(Taxa_Mensal,12,$F$7,-E25,1))))</f>
        <v/>
      </c>
      <c r="J25" s="38">
        <f>IF(D25="—","",I25*(1+Inflacao)^B25)</f>
        <v/>
      </c>
    </row>
    <row r="26">
      <c r="B26" s="33">
        <f>B25+1</f>
        <v/>
      </c>
      <c r="C26" s="34">
        <f>Idade_Hoje+B26</f>
        <v/>
      </c>
      <c r="D26" s="35">
        <f>IF(B26&lt;=Anos_Acumulo,"Acumulação",IF(B26&lt;=Anos_Acumulo+$H$7,"Renda","—"))</f>
        <v/>
      </c>
      <c r="E26" s="36">
        <f>IF(D26="—","",I25)</f>
        <v/>
      </c>
      <c r="F26" s="36">
        <f>IF(D26="Acumulação",$D$7*12,IF(D26="—","",0))</f>
        <v/>
      </c>
      <c r="G26" s="36">
        <f>IF(D26="Renda",$F$7*12,IF(D26="—","",0))</f>
        <v/>
      </c>
      <c r="H26" s="36">
        <f>IF(D26="—","",I26-E26-F26+G26)</f>
        <v/>
      </c>
      <c r="I26" s="37">
        <f>IF(D26="—","",IF(D26="Acumulação",FV(Taxa_Mensal,12,-$D$7,-E26,0),MAX(0,FV(Taxa_Mensal,12,$F$7,-E26,1))))</f>
        <v/>
      </c>
      <c r="J26" s="38">
        <f>IF(D26="—","",I26*(1+Inflacao)^B26)</f>
        <v/>
      </c>
    </row>
    <row r="27">
      <c r="B27" s="33">
        <f>B26+1</f>
        <v/>
      </c>
      <c r="C27" s="34">
        <f>Idade_Hoje+B27</f>
        <v/>
      </c>
      <c r="D27" s="35">
        <f>IF(B27&lt;=Anos_Acumulo,"Acumulação",IF(B27&lt;=Anos_Acumulo+$H$7,"Renda","—"))</f>
        <v/>
      </c>
      <c r="E27" s="36">
        <f>IF(D27="—","",I26)</f>
        <v/>
      </c>
      <c r="F27" s="36">
        <f>IF(D27="Acumulação",$D$7*12,IF(D27="—","",0))</f>
        <v/>
      </c>
      <c r="G27" s="36">
        <f>IF(D27="Renda",$F$7*12,IF(D27="—","",0))</f>
        <v/>
      </c>
      <c r="H27" s="36">
        <f>IF(D27="—","",I27-E27-F27+G27)</f>
        <v/>
      </c>
      <c r="I27" s="37">
        <f>IF(D27="—","",IF(D27="Acumulação",FV(Taxa_Mensal,12,-$D$7,-E27,0),MAX(0,FV(Taxa_Mensal,12,$F$7,-E27,1))))</f>
        <v/>
      </c>
      <c r="J27" s="38">
        <f>IF(D27="—","",I27*(1+Inflacao)^B27)</f>
        <v/>
      </c>
    </row>
    <row r="28">
      <c r="B28" s="33">
        <f>B27+1</f>
        <v/>
      </c>
      <c r="C28" s="34">
        <f>Idade_Hoje+B28</f>
        <v/>
      </c>
      <c r="D28" s="35">
        <f>IF(B28&lt;=Anos_Acumulo,"Acumulação",IF(B28&lt;=Anos_Acumulo+$H$7,"Renda","—"))</f>
        <v/>
      </c>
      <c r="E28" s="36">
        <f>IF(D28="—","",I27)</f>
        <v/>
      </c>
      <c r="F28" s="36">
        <f>IF(D28="Acumulação",$D$7*12,IF(D28="—","",0))</f>
        <v/>
      </c>
      <c r="G28" s="36">
        <f>IF(D28="Renda",$F$7*12,IF(D28="—","",0))</f>
        <v/>
      </c>
      <c r="H28" s="36">
        <f>IF(D28="—","",I28-E28-F28+G28)</f>
        <v/>
      </c>
      <c r="I28" s="37">
        <f>IF(D28="—","",IF(D28="Acumulação",FV(Taxa_Mensal,12,-$D$7,-E28,0),MAX(0,FV(Taxa_Mensal,12,$F$7,-E28,1))))</f>
        <v/>
      </c>
      <c r="J28" s="38">
        <f>IF(D28="—","",I28*(1+Inflacao)^B28)</f>
        <v/>
      </c>
    </row>
    <row r="29">
      <c r="B29" s="33">
        <f>B28+1</f>
        <v/>
      </c>
      <c r="C29" s="34">
        <f>Idade_Hoje+B29</f>
        <v/>
      </c>
      <c r="D29" s="35">
        <f>IF(B29&lt;=Anos_Acumulo,"Acumulação",IF(B29&lt;=Anos_Acumulo+$H$7,"Renda","—"))</f>
        <v/>
      </c>
      <c r="E29" s="36">
        <f>IF(D29="—","",I28)</f>
        <v/>
      </c>
      <c r="F29" s="36">
        <f>IF(D29="Acumulação",$D$7*12,IF(D29="—","",0))</f>
        <v/>
      </c>
      <c r="G29" s="36">
        <f>IF(D29="Renda",$F$7*12,IF(D29="—","",0))</f>
        <v/>
      </c>
      <c r="H29" s="36">
        <f>IF(D29="—","",I29-E29-F29+G29)</f>
        <v/>
      </c>
      <c r="I29" s="37">
        <f>IF(D29="—","",IF(D29="Acumulação",FV(Taxa_Mensal,12,-$D$7,-E29,0),MAX(0,FV(Taxa_Mensal,12,$F$7,-E29,1))))</f>
        <v/>
      </c>
      <c r="J29" s="38">
        <f>IF(D29="—","",I29*(1+Inflacao)^B29)</f>
        <v/>
      </c>
    </row>
    <row r="30">
      <c r="B30" s="33">
        <f>B29+1</f>
        <v/>
      </c>
      <c r="C30" s="34">
        <f>Idade_Hoje+B30</f>
        <v/>
      </c>
      <c r="D30" s="35">
        <f>IF(B30&lt;=Anos_Acumulo,"Acumulação",IF(B30&lt;=Anos_Acumulo+$H$7,"Renda","—"))</f>
        <v/>
      </c>
      <c r="E30" s="36">
        <f>IF(D30="—","",I29)</f>
        <v/>
      </c>
      <c r="F30" s="36">
        <f>IF(D30="Acumulação",$D$7*12,IF(D30="—","",0))</f>
        <v/>
      </c>
      <c r="G30" s="36">
        <f>IF(D30="Renda",$F$7*12,IF(D30="—","",0))</f>
        <v/>
      </c>
      <c r="H30" s="36">
        <f>IF(D30="—","",I30-E30-F30+G30)</f>
        <v/>
      </c>
      <c r="I30" s="37">
        <f>IF(D30="—","",IF(D30="Acumulação",FV(Taxa_Mensal,12,-$D$7,-E30,0),MAX(0,FV(Taxa_Mensal,12,$F$7,-E30,1))))</f>
        <v/>
      </c>
      <c r="J30" s="38">
        <f>IF(D30="—","",I30*(1+Inflacao)^B30)</f>
        <v/>
      </c>
    </row>
    <row r="31">
      <c r="B31" s="33">
        <f>B30+1</f>
        <v/>
      </c>
      <c r="C31" s="34">
        <f>Idade_Hoje+B31</f>
        <v/>
      </c>
      <c r="D31" s="35">
        <f>IF(B31&lt;=Anos_Acumulo,"Acumulação",IF(B31&lt;=Anos_Acumulo+$H$7,"Renda","—"))</f>
        <v/>
      </c>
      <c r="E31" s="36">
        <f>IF(D31="—","",I30)</f>
        <v/>
      </c>
      <c r="F31" s="36">
        <f>IF(D31="Acumulação",$D$7*12,IF(D31="—","",0))</f>
        <v/>
      </c>
      <c r="G31" s="36">
        <f>IF(D31="Renda",$F$7*12,IF(D31="—","",0))</f>
        <v/>
      </c>
      <c r="H31" s="36">
        <f>IF(D31="—","",I31-E31-F31+G31)</f>
        <v/>
      </c>
      <c r="I31" s="37">
        <f>IF(D31="—","",IF(D31="Acumulação",FV(Taxa_Mensal,12,-$D$7,-E31,0),MAX(0,FV(Taxa_Mensal,12,$F$7,-E31,1))))</f>
        <v/>
      </c>
      <c r="J31" s="38">
        <f>IF(D31="—","",I31*(1+Inflacao)^B31)</f>
        <v/>
      </c>
    </row>
    <row r="32">
      <c r="B32" s="33">
        <f>B31+1</f>
        <v/>
      </c>
      <c r="C32" s="34">
        <f>Idade_Hoje+B32</f>
        <v/>
      </c>
      <c r="D32" s="35">
        <f>IF(B32&lt;=Anos_Acumulo,"Acumulação",IF(B32&lt;=Anos_Acumulo+$H$7,"Renda","—"))</f>
        <v/>
      </c>
      <c r="E32" s="36">
        <f>IF(D32="—","",I31)</f>
        <v/>
      </c>
      <c r="F32" s="36">
        <f>IF(D32="Acumulação",$D$7*12,IF(D32="—","",0))</f>
        <v/>
      </c>
      <c r="G32" s="36">
        <f>IF(D32="Renda",$F$7*12,IF(D32="—","",0))</f>
        <v/>
      </c>
      <c r="H32" s="36">
        <f>IF(D32="—","",I32-E32-F32+G32)</f>
        <v/>
      </c>
      <c r="I32" s="37">
        <f>IF(D32="—","",IF(D32="Acumulação",FV(Taxa_Mensal,12,-$D$7,-E32,0),MAX(0,FV(Taxa_Mensal,12,$F$7,-E32,1))))</f>
        <v/>
      </c>
      <c r="J32" s="38">
        <f>IF(D32="—","",I32*(1+Inflacao)^B32)</f>
        <v/>
      </c>
    </row>
    <row r="33">
      <c r="B33" s="33">
        <f>B32+1</f>
        <v/>
      </c>
      <c r="C33" s="34">
        <f>Idade_Hoje+B33</f>
        <v/>
      </c>
      <c r="D33" s="35">
        <f>IF(B33&lt;=Anos_Acumulo,"Acumulação",IF(B33&lt;=Anos_Acumulo+$H$7,"Renda","—"))</f>
        <v/>
      </c>
      <c r="E33" s="36">
        <f>IF(D33="—","",I32)</f>
        <v/>
      </c>
      <c r="F33" s="36">
        <f>IF(D33="Acumulação",$D$7*12,IF(D33="—","",0))</f>
        <v/>
      </c>
      <c r="G33" s="36">
        <f>IF(D33="Renda",$F$7*12,IF(D33="—","",0))</f>
        <v/>
      </c>
      <c r="H33" s="36">
        <f>IF(D33="—","",I33-E33-F33+G33)</f>
        <v/>
      </c>
      <c r="I33" s="37">
        <f>IF(D33="—","",IF(D33="Acumulação",FV(Taxa_Mensal,12,-$D$7,-E33,0),MAX(0,FV(Taxa_Mensal,12,$F$7,-E33,1))))</f>
        <v/>
      </c>
      <c r="J33" s="38">
        <f>IF(D33="—","",I33*(1+Inflacao)^B33)</f>
        <v/>
      </c>
    </row>
    <row r="34">
      <c r="B34" s="33">
        <f>B33+1</f>
        <v/>
      </c>
      <c r="C34" s="34">
        <f>Idade_Hoje+B34</f>
        <v/>
      </c>
      <c r="D34" s="35">
        <f>IF(B34&lt;=Anos_Acumulo,"Acumulação",IF(B34&lt;=Anos_Acumulo+$H$7,"Renda","—"))</f>
        <v/>
      </c>
      <c r="E34" s="36">
        <f>IF(D34="—","",I33)</f>
        <v/>
      </c>
      <c r="F34" s="36">
        <f>IF(D34="Acumulação",$D$7*12,IF(D34="—","",0))</f>
        <v/>
      </c>
      <c r="G34" s="36">
        <f>IF(D34="Renda",$F$7*12,IF(D34="—","",0))</f>
        <v/>
      </c>
      <c r="H34" s="36">
        <f>IF(D34="—","",I34-E34-F34+G34)</f>
        <v/>
      </c>
      <c r="I34" s="37">
        <f>IF(D34="—","",IF(D34="Acumulação",FV(Taxa_Mensal,12,-$D$7,-E34,0),MAX(0,FV(Taxa_Mensal,12,$F$7,-E34,1))))</f>
        <v/>
      </c>
      <c r="J34" s="38">
        <f>IF(D34="—","",I34*(1+Inflacao)^B34)</f>
        <v/>
      </c>
    </row>
    <row r="35">
      <c r="B35" s="33">
        <f>B34+1</f>
        <v/>
      </c>
      <c r="C35" s="34">
        <f>Idade_Hoje+B35</f>
        <v/>
      </c>
      <c r="D35" s="35">
        <f>IF(B35&lt;=Anos_Acumulo,"Acumulação",IF(B35&lt;=Anos_Acumulo+$H$7,"Renda","—"))</f>
        <v/>
      </c>
      <c r="E35" s="36">
        <f>IF(D35="—","",I34)</f>
        <v/>
      </c>
      <c r="F35" s="36">
        <f>IF(D35="Acumulação",$D$7*12,IF(D35="—","",0))</f>
        <v/>
      </c>
      <c r="G35" s="36">
        <f>IF(D35="Renda",$F$7*12,IF(D35="—","",0))</f>
        <v/>
      </c>
      <c r="H35" s="36">
        <f>IF(D35="—","",I35-E35-F35+G35)</f>
        <v/>
      </c>
      <c r="I35" s="37">
        <f>IF(D35="—","",IF(D35="Acumulação",FV(Taxa_Mensal,12,-$D$7,-E35,0),MAX(0,FV(Taxa_Mensal,12,$F$7,-E35,1))))</f>
        <v/>
      </c>
      <c r="J35" s="38">
        <f>IF(D35="—","",I35*(1+Inflacao)^B35)</f>
        <v/>
      </c>
    </row>
    <row r="36">
      <c r="B36" s="33">
        <f>B35+1</f>
        <v/>
      </c>
      <c r="C36" s="34">
        <f>Idade_Hoje+B36</f>
        <v/>
      </c>
      <c r="D36" s="35">
        <f>IF(B36&lt;=Anos_Acumulo,"Acumulação",IF(B36&lt;=Anos_Acumulo+$H$7,"Renda","—"))</f>
        <v/>
      </c>
      <c r="E36" s="36">
        <f>IF(D36="—","",I35)</f>
        <v/>
      </c>
      <c r="F36" s="36">
        <f>IF(D36="Acumulação",$D$7*12,IF(D36="—","",0))</f>
        <v/>
      </c>
      <c r="G36" s="36">
        <f>IF(D36="Renda",$F$7*12,IF(D36="—","",0))</f>
        <v/>
      </c>
      <c r="H36" s="36">
        <f>IF(D36="—","",I36-E36-F36+G36)</f>
        <v/>
      </c>
      <c r="I36" s="37">
        <f>IF(D36="—","",IF(D36="Acumulação",FV(Taxa_Mensal,12,-$D$7,-E36,0),MAX(0,FV(Taxa_Mensal,12,$F$7,-E36,1))))</f>
        <v/>
      </c>
      <c r="J36" s="38">
        <f>IF(D36="—","",I36*(1+Inflacao)^B36)</f>
        <v/>
      </c>
    </row>
    <row r="37">
      <c r="B37" s="33">
        <f>B36+1</f>
        <v/>
      </c>
      <c r="C37" s="34">
        <f>Idade_Hoje+B37</f>
        <v/>
      </c>
      <c r="D37" s="35">
        <f>IF(B37&lt;=Anos_Acumulo,"Acumulação",IF(B37&lt;=Anos_Acumulo+$H$7,"Renda","—"))</f>
        <v/>
      </c>
      <c r="E37" s="36">
        <f>IF(D37="—","",I36)</f>
        <v/>
      </c>
      <c r="F37" s="36">
        <f>IF(D37="Acumulação",$D$7*12,IF(D37="—","",0))</f>
        <v/>
      </c>
      <c r="G37" s="36">
        <f>IF(D37="Renda",$F$7*12,IF(D37="—","",0))</f>
        <v/>
      </c>
      <c r="H37" s="36">
        <f>IF(D37="—","",I37-E37-F37+G37)</f>
        <v/>
      </c>
      <c r="I37" s="37">
        <f>IF(D37="—","",IF(D37="Acumulação",FV(Taxa_Mensal,12,-$D$7,-E37,0),MAX(0,FV(Taxa_Mensal,12,$F$7,-E37,1))))</f>
        <v/>
      </c>
      <c r="J37" s="38">
        <f>IF(D37="—","",I37*(1+Inflacao)^B37)</f>
        <v/>
      </c>
    </row>
    <row r="38">
      <c r="B38" s="33">
        <f>B37+1</f>
        <v/>
      </c>
      <c r="C38" s="34">
        <f>Idade_Hoje+B38</f>
        <v/>
      </c>
      <c r="D38" s="35">
        <f>IF(B38&lt;=Anos_Acumulo,"Acumulação",IF(B38&lt;=Anos_Acumulo+$H$7,"Renda","—"))</f>
        <v/>
      </c>
      <c r="E38" s="36">
        <f>IF(D38="—","",I37)</f>
        <v/>
      </c>
      <c r="F38" s="36">
        <f>IF(D38="Acumulação",$D$7*12,IF(D38="—","",0))</f>
        <v/>
      </c>
      <c r="G38" s="36">
        <f>IF(D38="Renda",$F$7*12,IF(D38="—","",0))</f>
        <v/>
      </c>
      <c r="H38" s="36">
        <f>IF(D38="—","",I38-E38-F38+G38)</f>
        <v/>
      </c>
      <c r="I38" s="37">
        <f>IF(D38="—","",IF(D38="Acumulação",FV(Taxa_Mensal,12,-$D$7,-E38,0),MAX(0,FV(Taxa_Mensal,12,$F$7,-E38,1))))</f>
        <v/>
      </c>
      <c r="J38" s="38">
        <f>IF(D38="—","",I38*(1+Inflacao)^B38)</f>
        <v/>
      </c>
    </row>
    <row r="39">
      <c r="B39" s="33">
        <f>B38+1</f>
        <v/>
      </c>
      <c r="C39" s="34">
        <f>Idade_Hoje+B39</f>
        <v/>
      </c>
      <c r="D39" s="35">
        <f>IF(B39&lt;=Anos_Acumulo,"Acumulação",IF(B39&lt;=Anos_Acumulo+$H$7,"Renda","—"))</f>
        <v/>
      </c>
      <c r="E39" s="36">
        <f>IF(D39="—","",I38)</f>
        <v/>
      </c>
      <c r="F39" s="36">
        <f>IF(D39="Acumulação",$D$7*12,IF(D39="—","",0))</f>
        <v/>
      </c>
      <c r="G39" s="36">
        <f>IF(D39="Renda",$F$7*12,IF(D39="—","",0))</f>
        <v/>
      </c>
      <c r="H39" s="36">
        <f>IF(D39="—","",I39-E39-F39+G39)</f>
        <v/>
      </c>
      <c r="I39" s="37">
        <f>IF(D39="—","",IF(D39="Acumulação",FV(Taxa_Mensal,12,-$D$7,-E39,0),MAX(0,FV(Taxa_Mensal,12,$F$7,-E39,1))))</f>
        <v/>
      </c>
      <c r="J39" s="38">
        <f>IF(D39="—","",I39*(1+Inflacao)^B39)</f>
        <v/>
      </c>
    </row>
    <row r="40">
      <c r="B40" s="33">
        <f>B39+1</f>
        <v/>
      </c>
      <c r="C40" s="34">
        <f>Idade_Hoje+B40</f>
        <v/>
      </c>
      <c r="D40" s="35">
        <f>IF(B40&lt;=Anos_Acumulo,"Acumulação",IF(B40&lt;=Anos_Acumulo+$H$7,"Renda","—"))</f>
        <v/>
      </c>
      <c r="E40" s="36">
        <f>IF(D40="—","",I39)</f>
        <v/>
      </c>
      <c r="F40" s="36">
        <f>IF(D40="Acumulação",$D$7*12,IF(D40="—","",0))</f>
        <v/>
      </c>
      <c r="G40" s="36">
        <f>IF(D40="Renda",$F$7*12,IF(D40="—","",0))</f>
        <v/>
      </c>
      <c r="H40" s="36">
        <f>IF(D40="—","",I40-E40-F40+G40)</f>
        <v/>
      </c>
      <c r="I40" s="37">
        <f>IF(D40="—","",IF(D40="Acumulação",FV(Taxa_Mensal,12,-$D$7,-E40,0),MAX(0,FV(Taxa_Mensal,12,$F$7,-E40,1))))</f>
        <v/>
      </c>
      <c r="J40" s="38">
        <f>IF(D40="—","",I40*(1+Inflacao)^B40)</f>
        <v/>
      </c>
    </row>
    <row r="41">
      <c r="B41" s="33">
        <f>B40+1</f>
        <v/>
      </c>
      <c r="C41" s="34">
        <f>Idade_Hoje+B41</f>
        <v/>
      </c>
      <c r="D41" s="35">
        <f>IF(B41&lt;=Anos_Acumulo,"Acumulação",IF(B41&lt;=Anos_Acumulo+$H$7,"Renda","—"))</f>
        <v/>
      </c>
      <c r="E41" s="36">
        <f>IF(D41="—","",I40)</f>
        <v/>
      </c>
      <c r="F41" s="36">
        <f>IF(D41="Acumulação",$D$7*12,IF(D41="—","",0))</f>
        <v/>
      </c>
      <c r="G41" s="36">
        <f>IF(D41="Renda",$F$7*12,IF(D41="—","",0))</f>
        <v/>
      </c>
      <c r="H41" s="36">
        <f>IF(D41="—","",I41-E41-F41+G41)</f>
        <v/>
      </c>
      <c r="I41" s="37">
        <f>IF(D41="—","",IF(D41="Acumulação",FV(Taxa_Mensal,12,-$D$7,-E41,0),MAX(0,FV(Taxa_Mensal,12,$F$7,-E41,1))))</f>
        <v/>
      </c>
      <c r="J41" s="38">
        <f>IF(D41="—","",I41*(1+Inflacao)^B41)</f>
        <v/>
      </c>
    </row>
    <row r="42">
      <c r="B42" s="33">
        <f>B41+1</f>
        <v/>
      </c>
      <c r="C42" s="34">
        <f>Idade_Hoje+B42</f>
        <v/>
      </c>
      <c r="D42" s="35">
        <f>IF(B42&lt;=Anos_Acumulo,"Acumulação",IF(B42&lt;=Anos_Acumulo+$H$7,"Renda","—"))</f>
        <v/>
      </c>
      <c r="E42" s="36">
        <f>IF(D42="—","",I41)</f>
        <v/>
      </c>
      <c r="F42" s="36">
        <f>IF(D42="Acumulação",$D$7*12,IF(D42="—","",0))</f>
        <v/>
      </c>
      <c r="G42" s="36">
        <f>IF(D42="Renda",$F$7*12,IF(D42="—","",0))</f>
        <v/>
      </c>
      <c r="H42" s="36">
        <f>IF(D42="—","",I42-E42-F42+G42)</f>
        <v/>
      </c>
      <c r="I42" s="37">
        <f>IF(D42="—","",IF(D42="Acumulação",FV(Taxa_Mensal,12,-$D$7,-E42,0),MAX(0,FV(Taxa_Mensal,12,$F$7,-E42,1))))</f>
        <v/>
      </c>
      <c r="J42" s="38">
        <f>IF(D42="—","",I42*(1+Inflacao)^B42)</f>
        <v/>
      </c>
    </row>
    <row r="43">
      <c r="B43" s="33">
        <f>B42+1</f>
        <v/>
      </c>
      <c r="C43" s="34">
        <f>Idade_Hoje+B43</f>
        <v/>
      </c>
      <c r="D43" s="35">
        <f>IF(B43&lt;=Anos_Acumulo,"Acumulação",IF(B43&lt;=Anos_Acumulo+$H$7,"Renda","—"))</f>
        <v/>
      </c>
      <c r="E43" s="36">
        <f>IF(D43="—","",I42)</f>
        <v/>
      </c>
      <c r="F43" s="36">
        <f>IF(D43="Acumulação",$D$7*12,IF(D43="—","",0))</f>
        <v/>
      </c>
      <c r="G43" s="36">
        <f>IF(D43="Renda",$F$7*12,IF(D43="—","",0))</f>
        <v/>
      </c>
      <c r="H43" s="36">
        <f>IF(D43="—","",I43-E43-F43+G43)</f>
        <v/>
      </c>
      <c r="I43" s="37">
        <f>IF(D43="—","",IF(D43="Acumulação",FV(Taxa_Mensal,12,-$D$7,-E43,0),MAX(0,FV(Taxa_Mensal,12,$F$7,-E43,1))))</f>
        <v/>
      </c>
      <c r="J43" s="38">
        <f>IF(D43="—","",I43*(1+Inflacao)^B43)</f>
        <v/>
      </c>
    </row>
    <row r="44">
      <c r="B44" s="33">
        <f>B43+1</f>
        <v/>
      </c>
      <c r="C44" s="34">
        <f>Idade_Hoje+B44</f>
        <v/>
      </c>
      <c r="D44" s="35">
        <f>IF(B44&lt;=Anos_Acumulo,"Acumulação",IF(B44&lt;=Anos_Acumulo+$H$7,"Renda","—"))</f>
        <v/>
      </c>
      <c r="E44" s="36">
        <f>IF(D44="—","",I43)</f>
        <v/>
      </c>
      <c r="F44" s="36">
        <f>IF(D44="Acumulação",$D$7*12,IF(D44="—","",0))</f>
        <v/>
      </c>
      <c r="G44" s="36">
        <f>IF(D44="Renda",$F$7*12,IF(D44="—","",0))</f>
        <v/>
      </c>
      <c r="H44" s="36">
        <f>IF(D44="—","",I44-E44-F44+G44)</f>
        <v/>
      </c>
      <c r="I44" s="37">
        <f>IF(D44="—","",IF(D44="Acumulação",FV(Taxa_Mensal,12,-$D$7,-E44,0),MAX(0,FV(Taxa_Mensal,12,$F$7,-E44,1))))</f>
        <v/>
      </c>
      <c r="J44" s="38">
        <f>IF(D44="—","",I44*(1+Inflacao)^B44)</f>
        <v/>
      </c>
    </row>
    <row r="45">
      <c r="B45" s="33">
        <f>B44+1</f>
        <v/>
      </c>
      <c r="C45" s="34">
        <f>Idade_Hoje+B45</f>
        <v/>
      </c>
      <c r="D45" s="35">
        <f>IF(B45&lt;=Anos_Acumulo,"Acumulação",IF(B45&lt;=Anos_Acumulo+$H$7,"Renda","—"))</f>
        <v/>
      </c>
      <c r="E45" s="36">
        <f>IF(D45="—","",I44)</f>
        <v/>
      </c>
      <c r="F45" s="36">
        <f>IF(D45="Acumulação",$D$7*12,IF(D45="—","",0))</f>
        <v/>
      </c>
      <c r="G45" s="36">
        <f>IF(D45="Renda",$F$7*12,IF(D45="—","",0))</f>
        <v/>
      </c>
      <c r="H45" s="36">
        <f>IF(D45="—","",I45-E45-F45+G45)</f>
        <v/>
      </c>
      <c r="I45" s="37">
        <f>IF(D45="—","",IF(D45="Acumulação",FV(Taxa_Mensal,12,-$D$7,-E45,0),MAX(0,FV(Taxa_Mensal,12,$F$7,-E45,1))))</f>
        <v/>
      </c>
      <c r="J45" s="38">
        <f>IF(D45="—","",I45*(1+Inflacao)^B45)</f>
        <v/>
      </c>
    </row>
    <row r="46">
      <c r="B46" s="33">
        <f>B45+1</f>
        <v/>
      </c>
      <c r="C46" s="34">
        <f>Idade_Hoje+B46</f>
        <v/>
      </c>
      <c r="D46" s="35">
        <f>IF(B46&lt;=Anos_Acumulo,"Acumulação",IF(B46&lt;=Anos_Acumulo+$H$7,"Renda","—"))</f>
        <v/>
      </c>
      <c r="E46" s="36">
        <f>IF(D46="—","",I45)</f>
        <v/>
      </c>
      <c r="F46" s="36">
        <f>IF(D46="Acumulação",$D$7*12,IF(D46="—","",0))</f>
        <v/>
      </c>
      <c r="G46" s="36">
        <f>IF(D46="Renda",$F$7*12,IF(D46="—","",0))</f>
        <v/>
      </c>
      <c r="H46" s="36">
        <f>IF(D46="—","",I46-E46-F46+G46)</f>
        <v/>
      </c>
      <c r="I46" s="37">
        <f>IF(D46="—","",IF(D46="Acumulação",FV(Taxa_Mensal,12,-$D$7,-E46,0),MAX(0,FV(Taxa_Mensal,12,$F$7,-E46,1))))</f>
        <v/>
      </c>
      <c r="J46" s="38">
        <f>IF(D46="—","",I46*(1+Inflacao)^B46)</f>
        <v/>
      </c>
    </row>
    <row r="47">
      <c r="B47" s="33">
        <f>B46+1</f>
        <v/>
      </c>
      <c r="C47" s="34">
        <f>Idade_Hoje+B47</f>
        <v/>
      </c>
      <c r="D47" s="35">
        <f>IF(B47&lt;=Anos_Acumulo,"Acumulação",IF(B47&lt;=Anos_Acumulo+$H$7,"Renda","—"))</f>
        <v/>
      </c>
      <c r="E47" s="36">
        <f>IF(D47="—","",I46)</f>
        <v/>
      </c>
      <c r="F47" s="36">
        <f>IF(D47="Acumulação",$D$7*12,IF(D47="—","",0))</f>
        <v/>
      </c>
      <c r="G47" s="36">
        <f>IF(D47="Renda",$F$7*12,IF(D47="—","",0))</f>
        <v/>
      </c>
      <c r="H47" s="36">
        <f>IF(D47="—","",I47-E47-F47+G47)</f>
        <v/>
      </c>
      <c r="I47" s="37">
        <f>IF(D47="—","",IF(D47="Acumulação",FV(Taxa_Mensal,12,-$D$7,-E47,0),MAX(0,FV(Taxa_Mensal,12,$F$7,-E47,1))))</f>
        <v/>
      </c>
      <c r="J47" s="38">
        <f>IF(D47="—","",I47*(1+Inflacao)^B47)</f>
        <v/>
      </c>
    </row>
    <row r="48">
      <c r="B48" s="33">
        <f>B47+1</f>
        <v/>
      </c>
      <c r="C48" s="34">
        <f>Idade_Hoje+B48</f>
        <v/>
      </c>
      <c r="D48" s="35">
        <f>IF(B48&lt;=Anos_Acumulo,"Acumulação",IF(B48&lt;=Anos_Acumulo+$H$7,"Renda","—"))</f>
        <v/>
      </c>
      <c r="E48" s="36">
        <f>IF(D48="—","",I47)</f>
        <v/>
      </c>
      <c r="F48" s="36">
        <f>IF(D48="Acumulação",$D$7*12,IF(D48="—","",0))</f>
        <v/>
      </c>
      <c r="G48" s="36">
        <f>IF(D48="Renda",$F$7*12,IF(D48="—","",0))</f>
        <v/>
      </c>
      <c r="H48" s="36">
        <f>IF(D48="—","",I48-E48-F48+G48)</f>
        <v/>
      </c>
      <c r="I48" s="37">
        <f>IF(D48="—","",IF(D48="Acumulação",FV(Taxa_Mensal,12,-$D$7,-E48,0),MAX(0,FV(Taxa_Mensal,12,$F$7,-E48,1))))</f>
        <v/>
      </c>
      <c r="J48" s="38">
        <f>IF(D48="—","",I48*(1+Inflacao)^B48)</f>
        <v/>
      </c>
    </row>
    <row r="49">
      <c r="B49" s="33">
        <f>B48+1</f>
        <v/>
      </c>
      <c r="C49" s="34">
        <f>Idade_Hoje+B49</f>
        <v/>
      </c>
      <c r="D49" s="35">
        <f>IF(B49&lt;=Anos_Acumulo,"Acumulação",IF(B49&lt;=Anos_Acumulo+$H$7,"Renda","—"))</f>
        <v/>
      </c>
      <c r="E49" s="36">
        <f>IF(D49="—","",I48)</f>
        <v/>
      </c>
      <c r="F49" s="36">
        <f>IF(D49="Acumulação",$D$7*12,IF(D49="—","",0))</f>
        <v/>
      </c>
      <c r="G49" s="36">
        <f>IF(D49="Renda",$F$7*12,IF(D49="—","",0))</f>
        <v/>
      </c>
      <c r="H49" s="36">
        <f>IF(D49="—","",I49-E49-F49+G49)</f>
        <v/>
      </c>
      <c r="I49" s="37">
        <f>IF(D49="—","",IF(D49="Acumulação",FV(Taxa_Mensal,12,-$D$7,-E49,0),MAX(0,FV(Taxa_Mensal,12,$F$7,-E49,1))))</f>
        <v/>
      </c>
      <c r="J49" s="38">
        <f>IF(D49="—","",I49*(1+Inflacao)^B49)</f>
        <v/>
      </c>
    </row>
    <row r="50">
      <c r="B50" s="33">
        <f>B49+1</f>
        <v/>
      </c>
      <c r="C50" s="34">
        <f>Idade_Hoje+B50</f>
        <v/>
      </c>
      <c r="D50" s="35">
        <f>IF(B50&lt;=Anos_Acumulo,"Acumulação",IF(B50&lt;=Anos_Acumulo+$H$7,"Renda","—"))</f>
        <v/>
      </c>
      <c r="E50" s="36">
        <f>IF(D50="—","",I49)</f>
        <v/>
      </c>
      <c r="F50" s="36">
        <f>IF(D50="Acumulação",$D$7*12,IF(D50="—","",0))</f>
        <v/>
      </c>
      <c r="G50" s="36">
        <f>IF(D50="Renda",$F$7*12,IF(D50="—","",0))</f>
        <v/>
      </c>
      <c r="H50" s="36">
        <f>IF(D50="—","",I50-E50-F50+G50)</f>
        <v/>
      </c>
      <c r="I50" s="37">
        <f>IF(D50="—","",IF(D50="Acumulação",FV(Taxa_Mensal,12,-$D$7,-E50,0),MAX(0,FV(Taxa_Mensal,12,$F$7,-E50,1))))</f>
        <v/>
      </c>
      <c r="J50" s="38">
        <f>IF(D50="—","",I50*(1+Inflacao)^B50)</f>
        <v/>
      </c>
    </row>
    <row r="51">
      <c r="B51" s="33">
        <f>B50+1</f>
        <v/>
      </c>
      <c r="C51" s="34">
        <f>Idade_Hoje+B51</f>
        <v/>
      </c>
      <c r="D51" s="35">
        <f>IF(B51&lt;=Anos_Acumulo,"Acumulação",IF(B51&lt;=Anos_Acumulo+$H$7,"Renda","—"))</f>
        <v/>
      </c>
      <c r="E51" s="36">
        <f>IF(D51="—","",I50)</f>
        <v/>
      </c>
      <c r="F51" s="36">
        <f>IF(D51="Acumulação",$D$7*12,IF(D51="—","",0))</f>
        <v/>
      </c>
      <c r="G51" s="36">
        <f>IF(D51="Renda",$F$7*12,IF(D51="—","",0))</f>
        <v/>
      </c>
      <c r="H51" s="36">
        <f>IF(D51="—","",I51-E51-F51+G51)</f>
        <v/>
      </c>
      <c r="I51" s="37">
        <f>IF(D51="—","",IF(D51="Acumulação",FV(Taxa_Mensal,12,-$D$7,-E51,0),MAX(0,FV(Taxa_Mensal,12,$F$7,-E51,1))))</f>
        <v/>
      </c>
      <c r="J51" s="38">
        <f>IF(D51="—","",I51*(1+Inflacao)^B51)</f>
        <v/>
      </c>
    </row>
    <row r="52">
      <c r="B52" s="33">
        <f>B51+1</f>
        <v/>
      </c>
      <c r="C52" s="34">
        <f>Idade_Hoje+B52</f>
        <v/>
      </c>
      <c r="D52" s="35">
        <f>IF(B52&lt;=Anos_Acumulo,"Acumulação",IF(B52&lt;=Anos_Acumulo+$H$7,"Renda","—"))</f>
        <v/>
      </c>
      <c r="E52" s="36">
        <f>IF(D52="—","",I51)</f>
        <v/>
      </c>
      <c r="F52" s="36">
        <f>IF(D52="Acumulação",$D$7*12,IF(D52="—","",0))</f>
        <v/>
      </c>
      <c r="G52" s="36">
        <f>IF(D52="Renda",$F$7*12,IF(D52="—","",0))</f>
        <v/>
      </c>
      <c r="H52" s="36">
        <f>IF(D52="—","",I52-E52-F52+G52)</f>
        <v/>
      </c>
      <c r="I52" s="37">
        <f>IF(D52="—","",IF(D52="Acumulação",FV(Taxa_Mensal,12,-$D$7,-E52,0),MAX(0,FV(Taxa_Mensal,12,$F$7,-E52,1))))</f>
        <v/>
      </c>
      <c r="J52" s="38">
        <f>IF(D52="—","",I52*(1+Inflacao)^B52)</f>
        <v/>
      </c>
    </row>
    <row r="53">
      <c r="B53" s="33">
        <f>B52+1</f>
        <v/>
      </c>
      <c r="C53" s="34">
        <f>Idade_Hoje+B53</f>
        <v/>
      </c>
      <c r="D53" s="35">
        <f>IF(B53&lt;=Anos_Acumulo,"Acumulação",IF(B53&lt;=Anos_Acumulo+$H$7,"Renda","—"))</f>
        <v/>
      </c>
      <c r="E53" s="36">
        <f>IF(D53="—","",I52)</f>
        <v/>
      </c>
      <c r="F53" s="36">
        <f>IF(D53="Acumulação",$D$7*12,IF(D53="—","",0))</f>
        <v/>
      </c>
      <c r="G53" s="36">
        <f>IF(D53="Renda",$F$7*12,IF(D53="—","",0))</f>
        <v/>
      </c>
      <c r="H53" s="36">
        <f>IF(D53="—","",I53-E53-F53+G53)</f>
        <v/>
      </c>
      <c r="I53" s="37">
        <f>IF(D53="—","",IF(D53="Acumulação",FV(Taxa_Mensal,12,-$D$7,-E53,0),MAX(0,FV(Taxa_Mensal,12,$F$7,-E53,1))))</f>
        <v/>
      </c>
      <c r="J53" s="38">
        <f>IF(D53="—","",I53*(1+Inflacao)^B53)</f>
        <v/>
      </c>
    </row>
    <row r="54">
      <c r="B54" s="33">
        <f>B53+1</f>
        <v/>
      </c>
      <c r="C54" s="34">
        <f>Idade_Hoje+B54</f>
        <v/>
      </c>
      <c r="D54" s="35">
        <f>IF(B54&lt;=Anos_Acumulo,"Acumulação",IF(B54&lt;=Anos_Acumulo+$H$7,"Renda","—"))</f>
        <v/>
      </c>
      <c r="E54" s="36">
        <f>IF(D54="—","",I53)</f>
        <v/>
      </c>
      <c r="F54" s="36">
        <f>IF(D54="Acumulação",$D$7*12,IF(D54="—","",0))</f>
        <v/>
      </c>
      <c r="G54" s="36">
        <f>IF(D54="Renda",$F$7*12,IF(D54="—","",0))</f>
        <v/>
      </c>
      <c r="H54" s="36">
        <f>IF(D54="—","",I54-E54-F54+G54)</f>
        <v/>
      </c>
      <c r="I54" s="37">
        <f>IF(D54="—","",IF(D54="Acumulação",FV(Taxa_Mensal,12,-$D$7,-E54,0),MAX(0,FV(Taxa_Mensal,12,$F$7,-E54,1))))</f>
        <v/>
      </c>
      <c r="J54" s="38">
        <f>IF(D54="—","",I54*(1+Inflacao)^B54)</f>
        <v/>
      </c>
    </row>
    <row r="55">
      <c r="B55" s="33">
        <f>B54+1</f>
        <v/>
      </c>
      <c r="C55" s="34">
        <f>Idade_Hoje+B55</f>
        <v/>
      </c>
      <c r="D55" s="35">
        <f>IF(B55&lt;=Anos_Acumulo,"Acumulação",IF(B55&lt;=Anos_Acumulo+$H$7,"Renda","—"))</f>
        <v/>
      </c>
      <c r="E55" s="36">
        <f>IF(D55="—","",I54)</f>
        <v/>
      </c>
      <c r="F55" s="36">
        <f>IF(D55="Acumulação",$D$7*12,IF(D55="—","",0))</f>
        <v/>
      </c>
      <c r="G55" s="36">
        <f>IF(D55="Renda",$F$7*12,IF(D55="—","",0))</f>
        <v/>
      </c>
      <c r="H55" s="36">
        <f>IF(D55="—","",I55-E55-F55+G55)</f>
        <v/>
      </c>
      <c r="I55" s="37">
        <f>IF(D55="—","",IF(D55="Acumulação",FV(Taxa_Mensal,12,-$D$7,-E55,0),MAX(0,FV(Taxa_Mensal,12,$F$7,-E55,1))))</f>
        <v/>
      </c>
      <c r="J55" s="38">
        <f>IF(D55="—","",I55*(1+Inflacao)^B55)</f>
        <v/>
      </c>
    </row>
    <row r="56">
      <c r="B56" s="33">
        <f>B55+1</f>
        <v/>
      </c>
      <c r="C56" s="34">
        <f>Idade_Hoje+B56</f>
        <v/>
      </c>
      <c r="D56" s="35">
        <f>IF(B56&lt;=Anos_Acumulo,"Acumulação",IF(B56&lt;=Anos_Acumulo+$H$7,"Renda","—"))</f>
        <v/>
      </c>
      <c r="E56" s="36">
        <f>IF(D56="—","",I55)</f>
        <v/>
      </c>
      <c r="F56" s="36">
        <f>IF(D56="Acumulação",$D$7*12,IF(D56="—","",0))</f>
        <v/>
      </c>
      <c r="G56" s="36">
        <f>IF(D56="Renda",$F$7*12,IF(D56="—","",0))</f>
        <v/>
      </c>
      <c r="H56" s="36">
        <f>IF(D56="—","",I56-E56-F56+G56)</f>
        <v/>
      </c>
      <c r="I56" s="37">
        <f>IF(D56="—","",IF(D56="Acumulação",FV(Taxa_Mensal,12,-$D$7,-E56,0),MAX(0,FV(Taxa_Mensal,12,$F$7,-E56,1))))</f>
        <v/>
      </c>
      <c r="J56" s="38">
        <f>IF(D56="—","",I56*(1+Inflacao)^B56)</f>
        <v/>
      </c>
    </row>
    <row r="57">
      <c r="B57" s="33">
        <f>B56+1</f>
        <v/>
      </c>
      <c r="C57" s="34">
        <f>Idade_Hoje+B57</f>
        <v/>
      </c>
      <c r="D57" s="35">
        <f>IF(B57&lt;=Anos_Acumulo,"Acumulação",IF(B57&lt;=Anos_Acumulo+$H$7,"Renda","—"))</f>
        <v/>
      </c>
      <c r="E57" s="36">
        <f>IF(D57="—","",I56)</f>
        <v/>
      </c>
      <c r="F57" s="36">
        <f>IF(D57="Acumulação",$D$7*12,IF(D57="—","",0))</f>
        <v/>
      </c>
      <c r="G57" s="36">
        <f>IF(D57="Renda",$F$7*12,IF(D57="—","",0))</f>
        <v/>
      </c>
      <c r="H57" s="36">
        <f>IF(D57="—","",I57-E57-F57+G57)</f>
        <v/>
      </c>
      <c r="I57" s="37">
        <f>IF(D57="—","",IF(D57="Acumulação",FV(Taxa_Mensal,12,-$D$7,-E57,0),MAX(0,FV(Taxa_Mensal,12,$F$7,-E57,1))))</f>
        <v/>
      </c>
      <c r="J57" s="38">
        <f>IF(D57="—","",I57*(1+Inflacao)^B57)</f>
        <v/>
      </c>
    </row>
    <row r="58">
      <c r="B58" s="33">
        <f>B57+1</f>
        <v/>
      </c>
      <c r="C58" s="34">
        <f>Idade_Hoje+B58</f>
        <v/>
      </c>
      <c r="D58" s="35">
        <f>IF(B58&lt;=Anos_Acumulo,"Acumulação",IF(B58&lt;=Anos_Acumulo+$H$7,"Renda","—"))</f>
        <v/>
      </c>
      <c r="E58" s="36">
        <f>IF(D58="—","",I57)</f>
        <v/>
      </c>
      <c r="F58" s="36">
        <f>IF(D58="Acumulação",$D$7*12,IF(D58="—","",0))</f>
        <v/>
      </c>
      <c r="G58" s="36">
        <f>IF(D58="Renda",$F$7*12,IF(D58="—","",0))</f>
        <v/>
      </c>
      <c r="H58" s="36">
        <f>IF(D58="—","",I58-E58-F58+G58)</f>
        <v/>
      </c>
      <c r="I58" s="37">
        <f>IF(D58="—","",IF(D58="Acumulação",FV(Taxa_Mensal,12,-$D$7,-E58,0),MAX(0,FV(Taxa_Mensal,12,$F$7,-E58,1))))</f>
        <v/>
      </c>
      <c r="J58" s="38">
        <f>IF(D58="—","",I58*(1+Inflacao)^B58)</f>
        <v/>
      </c>
    </row>
    <row r="59">
      <c r="B59" s="33">
        <f>B58+1</f>
        <v/>
      </c>
      <c r="C59" s="34">
        <f>Idade_Hoje+B59</f>
        <v/>
      </c>
      <c r="D59" s="35">
        <f>IF(B59&lt;=Anos_Acumulo,"Acumulação",IF(B59&lt;=Anos_Acumulo+$H$7,"Renda","—"))</f>
        <v/>
      </c>
      <c r="E59" s="36">
        <f>IF(D59="—","",I58)</f>
        <v/>
      </c>
      <c r="F59" s="36">
        <f>IF(D59="Acumulação",$D$7*12,IF(D59="—","",0))</f>
        <v/>
      </c>
      <c r="G59" s="36">
        <f>IF(D59="Renda",$F$7*12,IF(D59="—","",0))</f>
        <v/>
      </c>
      <c r="H59" s="36">
        <f>IF(D59="—","",I59-E59-F59+G59)</f>
        <v/>
      </c>
      <c r="I59" s="37">
        <f>IF(D59="—","",IF(D59="Acumulação",FV(Taxa_Mensal,12,-$D$7,-E59,0),MAX(0,FV(Taxa_Mensal,12,$F$7,-E59,1))))</f>
        <v/>
      </c>
      <c r="J59" s="38">
        <f>IF(D59="—","",I59*(1+Inflacao)^B59)</f>
        <v/>
      </c>
    </row>
    <row r="60">
      <c r="B60" s="33">
        <f>B59+1</f>
        <v/>
      </c>
      <c r="C60" s="34">
        <f>Idade_Hoje+B60</f>
        <v/>
      </c>
      <c r="D60" s="35">
        <f>IF(B60&lt;=Anos_Acumulo,"Acumulação",IF(B60&lt;=Anos_Acumulo+$H$7,"Renda","—"))</f>
        <v/>
      </c>
      <c r="E60" s="36">
        <f>IF(D60="—","",I59)</f>
        <v/>
      </c>
      <c r="F60" s="36">
        <f>IF(D60="Acumulação",$D$7*12,IF(D60="—","",0))</f>
        <v/>
      </c>
      <c r="G60" s="36">
        <f>IF(D60="Renda",$F$7*12,IF(D60="—","",0))</f>
        <v/>
      </c>
      <c r="H60" s="36">
        <f>IF(D60="—","",I60-E60-F60+G60)</f>
        <v/>
      </c>
      <c r="I60" s="37">
        <f>IF(D60="—","",IF(D60="Acumulação",FV(Taxa_Mensal,12,-$D$7,-E60,0),MAX(0,FV(Taxa_Mensal,12,$F$7,-E60,1))))</f>
        <v/>
      </c>
      <c r="J60" s="38">
        <f>IF(D60="—","",I60*(1+Inflacao)^B60)</f>
        <v/>
      </c>
    </row>
    <row r="61">
      <c r="B61" s="33">
        <f>B60+1</f>
        <v/>
      </c>
      <c r="C61" s="34">
        <f>Idade_Hoje+B61</f>
        <v/>
      </c>
      <c r="D61" s="35">
        <f>IF(B61&lt;=Anos_Acumulo,"Acumulação",IF(B61&lt;=Anos_Acumulo+$H$7,"Renda","—"))</f>
        <v/>
      </c>
      <c r="E61" s="36">
        <f>IF(D61="—","",I60)</f>
        <v/>
      </c>
      <c r="F61" s="36">
        <f>IF(D61="Acumulação",$D$7*12,IF(D61="—","",0))</f>
        <v/>
      </c>
      <c r="G61" s="36">
        <f>IF(D61="Renda",$F$7*12,IF(D61="—","",0))</f>
        <v/>
      </c>
      <c r="H61" s="36">
        <f>IF(D61="—","",I61-E61-F61+G61)</f>
        <v/>
      </c>
      <c r="I61" s="37">
        <f>IF(D61="—","",IF(D61="Acumulação",FV(Taxa_Mensal,12,-$D$7,-E61,0),MAX(0,FV(Taxa_Mensal,12,$F$7,-E61,1))))</f>
        <v/>
      </c>
      <c r="J61" s="38">
        <f>IF(D61="—","",I61*(1+Inflacao)^B61)</f>
        <v/>
      </c>
    </row>
    <row r="62">
      <c r="B62" s="33">
        <f>B61+1</f>
        <v/>
      </c>
      <c r="C62" s="34">
        <f>Idade_Hoje+B62</f>
        <v/>
      </c>
      <c r="D62" s="35">
        <f>IF(B62&lt;=Anos_Acumulo,"Acumulação",IF(B62&lt;=Anos_Acumulo+$H$7,"Renda","—"))</f>
        <v/>
      </c>
      <c r="E62" s="36">
        <f>IF(D62="—","",I61)</f>
        <v/>
      </c>
      <c r="F62" s="36">
        <f>IF(D62="Acumulação",$D$7*12,IF(D62="—","",0))</f>
        <v/>
      </c>
      <c r="G62" s="36">
        <f>IF(D62="Renda",$F$7*12,IF(D62="—","",0))</f>
        <v/>
      </c>
      <c r="H62" s="36">
        <f>IF(D62="—","",I62-E62-F62+G62)</f>
        <v/>
      </c>
      <c r="I62" s="37">
        <f>IF(D62="—","",IF(D62="Acumulação",FV(Taxa_Mensal,12,-$D$7,-E62,0),MAX(0,FV(Taxa_Mensal,12,$F$7,-E62,1))))</f>
        <v/>
      </c>
      <c r="J62" s="38">
        <f>IF(D62="—","",I62*(1+Inflacao)^B62)</f>
        <v/>
      </c>
    </row>
    <row r="63">
      <c r="B63" s="33">
        <f>B62+1</f>
        <v/>
      </c>
      <c r="C63" s="34">
        <f>Idade_Hoje+B63</f>
        <v/>
      </c>
      <c r="D63" s="35">
        <f>IF(B63&lt;=Anos_Acumulo,"Acumulação",IF(B63&lt;=Anos_Acumulo+$H$7,"Renda","—"))</f>
        <v/>
      </c>
      <c r="E63" s="36">
        <f>IF(D63="—","",I62)</f>
        <v/>
      </c>
      <c r="F63" s="36">
        <f>IF(D63="Acumulação",$D$7*12,IF(D63="—","",0))</f>
        <v/>
      </c>
      <c r="G63" s="36">
        <f>IF(D63="Renda",$F$7*12,IF(D63="—","",0))</f>
        <v/>
      </c>
      <c r="H63" s="36">
        <f>IF(D63="—","",I63-E63-F63+G63)</f>
        <v/>
      </c>
      <c r="I63" s="37">
        <f>IF(D63="—","",IF(D63="Acumulação",FV(Taxa_Mensal,12,-$D$7,-E63,0),MAX(0,FV(Taxa_Mensal,12,$F$7,-E63,1))))</f>
        <v/>
      </c>
      <c r="J63" s="38">
        <f>IF(D63="—","",I63*(1+Inflacao)^B63)</f>
        <v/>
      </c>
    </row>
    <row r="64">
      <c r="B64" s="33">
        <f>B63+1</f>
        <v/>
      </c>
      <c r="C64" s="34">
        <f>Idade_Hoje+B64</f>
        <v/>
      </c>
      <c r="D64" s="35">
        <f>IF(B64&lt;=Anos_Acumulo,"Acumulação",IF(B64&lt;=Anos_Acumulo+$H$7,"Renda","—"))</f>
        <v/>
      </c>
      <c r="E64" s="36">
        <f>IF(D64="—","",I63)</f>
        <v/>
      </c>
      <c r="F64" s="36">
        <f>IF(D64="Acumulação",$D$7*12,IF(D64="—","",0))</f>
        <v/>
      </c>
      <c r="G64" s="36">
        <f>IF(D64="Renda",$F$7*12,IF(D64="—","",0))</f>
        <v/>
      </c>
      <c r="H64" s="36">
        <f>IF(D64="—","",I64-E64-F64+G64)</f>
        <v/>
      </c>
      <c r="I64" s="37">
        <f>IF(D64="—","",IF(D64="Acumulação",FV(Taxa_Mensal,12,-$D$7,-E64,0),MAX(0,FV(Taxa_Mensal,12,$F$7,-E64,1))))</f>
        <v/>
      </c>
      <c r="J64" s="38">
        <f>IF(D64="—","",I64*(1+Inflacao)^B64)</f>
        <v/>
      </c>
    </row>
    <row r="65">
      <c r="B65" s="33">
        <f>B64+1</f>
        <v/>
      </c>
      <c r="C65" s="34">
        <f>Idade_Hoje+B65</f>
        <v/>
      </c>
      <c r="D65" s="35">
        <f>IF(B65&lt;=Anos_Acumulo,"Acumulação",IF(B65&lt;=Anos_Acumulo+$H$7,"Renda","—"))</f>
        <v/>
      </c>
      <c r="E65" s="36">
        <f>IF(D65="—","",I64)</f>
        <v/>
      </c>
      <c r="F65" s="36">
        <f>IF(D65="Acumulação",$D$7*12,IF(D65="—","",0))</f>
        <v/>
      </c>
      <c r="G65" s="36">
        <f>IF(D65="Renda",$F$7*12,IF(D65="—","",0))</f>
        <v/>
      </c>
      <c r="H65" s="36">
        <f>IF(D65="—","",I65-E65-F65+G65)</f>
        <v/>
      </c>
      <c r="I65" s="37">
        <f>IF(D65="—","",IF(D65="Acumulação",FV(Taxa_Mensal,12,-$D$7,-E65,0),MAX(0,FV(Taxa_Mensal,12,$F$7,-E65,1))))</f>
        <v/>
      </c>
      <c r="J65" s="38">
        <f>IF(D65="—","",I65*(1+Inflacao)^B65)</f>
        <v/>
      </c>
    </row>
    <row r="66">
      <c r="B66" s="33">
        <f>B65+1</f>
        <v/>
      </c>
      <c r="C66" s="34">
        <f>Idade_Hoje+B66</f>
        <v/>
      </c>
      <c r="D66" s="35">
        <f>IF(B66&lt;=Anos_Acumulo,"Acumulação",IF(B66&lt;=Anos_Acumulo+$H$7,"Renda","—"))</f>
        <v/>
      </c>
      <c r="E66" s="36">
        <f>IF(D66="—","",I65)</f>
        <v/>
      </c>
      <c r="F66" s="36">
        <f>IF(D66="Acumulação",$D$7*12,IF(D66="—","",0))</f>
        <v/>
      </c>
      <c r="G66" s="36">
        <f>IF(D66="Renda",$F$7*12,IF(D66="—","",0))</f>
        <v/>
      </c>
      <c r="H66" s="36">
        <f>IF(D66="—","",I66-E66-F66+G66)</f>
        <v/>
      </c>
      <c r="I66" s="37">
        <f>IF(D66="—","",IF(D66="Acumulação",FV(Taxa_Mensal,12,-$D$7,-E66,0),MAX(0,FV(Taxa_Mensal,12,$F$7,-E66,1))))</f>
        <v/>
      </c>
      <c r="J66" s="38">
        <f>IF(D66="—","",I66*(1+Inflacao)^B66)</f>
        <v/>
      </c>
    </row>
    <row r="67">
      <c r="B67" s="33">
        <f>B66+1</f>
        <v/>
      </c>
      <c r="C67" s="34">
        <f>Idade_Hoje+B67</f>
        <v/>
      </c>
      <c r="D67" s="35">
        <f>IF(B67&lt;=Anos_Acumulo,"Acumulação",IF(B67&lt;=Anos_Acumulo+$H$7,"Renda","—"))</f>
        <v/>
      </c>
      <c r="E67" s="36">
        <f>IF(D67="—","",I66)</f>
        <v/>
      </c>
      <c r="F67" s="36">
        <f>IF(D67="Acumulação",$D$7*12,IF(D67="—","",0))</f>
        <v/>
      </c>
      <c r="G67" s="36">
        <f>IF(D67="Renda",$F$7*12,IF(D67="—","",0))</f>
        <v/>
      </c>
      <c r="H67" s="36">
        <f>IF(D67="—","",I67-E67-F67+G67)</f>
        <v/>
      </c>
      <c r="I67" s="37">
        <f>IF(D67="—","",IF(D67="Acumulação",FV(Taxa_Mensal,12,-$D$7,-E67,0),MAX(0,FV(Taxa_Mensal,12,$F$7,-E67,1))))</f>
        <v/>
      </c>
      <c r="J67" s="38">
        <f>IF(D67="—","",I67*(1+Inflacao)^B67)</f>
        <v/>
      </c>
    </row>
    <row r="68">
      <c r="B68" s="33">
        <f>B67+1</f>
        <v/>
      </c>
      <c r="C68" s="34">
        <f>Idade_Hoje+B68</f>
        <v/>
      </c>
      <c r="D68" s="35">
        <f>IF(B68&lt;=Anos_Acumulo,"Acumulação",IF(B68&lt;=Anos_Acumulo+$H$7,"Renda","—"))</f>
        <v/>
      </c>
      <c r="E68" s="36">
        <f>IF(D68="—","",I67)</f>
        <v/>
      </c>
      <c r="F68" s="36">
        <f>IF(D68="Acumulação",$D$7*12,IF(D68="—","",0))</f>
        <v/>
      </c>
      <c r="G68" s="36">
        <f>IF(D68="Renda",$F$7*12,IF(D68="—","",0))</f>
        <v/>
      </c>
      <c r="H68" s="36">
        <f>IF(D68="—","",I68-E68-F68+G68)</f>
        <v/>
      </c>
      <c r="I68" s="37">
        <f>IF(D68="—","",IF(D68="Acumulação",FV(Taxa_Mensal,12,-$D$7,-E68,0),MAX(0,FV(Taxa_Mensal,12,$F$7,-E68,1))))</f>
        <v/>
      </c>
      <c r="J68" s="38">
        <f>IF(D68="—","",I68*(1+Inflacao)^B68)</f>
        <v/>
      </c>
    </row>
    <row r="69">
      <c r="B69" s="33">
        <f>B68+1</f>
        <v/>
      </c>
      <c r="C69" s="34">
        <f>Idade_Hoje+B69</f>
        <v/>
      </c>
      <c r="D69" s="35">
        <f>IF(B69&lt;=Anos_Acumulo,"Acumulação",IF(B69&lt;=Anos_Acumulo+$H$7,"Renda","—"))</f>
        <v/>
      </c>
      <c r="E69" s="36">
        <f>IF(D69="—","",I68)</f>
        <v/>
      </c>
      <c r="F69" s="36">
        <f>IF(D69="Acumulação",$D$7*12,IF(D69="—","",0))</f>
        <v/>
      </c>
      <c r="G69" s="36">
        <f>IF(D69="Renda",$F$7*12,IF(D69="—","",0))</f>
        <v/>
      </c>
      <c r="H69" s="36">
        <f>IF(D69="—","",I69-E69-F69+G69)</f>
        <v/>
      </c>
      <c r="I69" s="37">
        <f>IF(D69="—","",IF(D69="Acumulação",FV(Taxa_Mensal,12,-$D$7,-E69,0),MAX(0,FV(Taxa_Mensal,12,$F$7,-E69,1))))</f>
        <v/>
      </c>
      <c r="J69" s="38">
        <f>IF(D69="—","",I69*(1+Inflacao)^B69)</f>
        <v/>
      </c>
    </row>
    <row r="70">
      <c r="B70" s="33">
        <f>B69+1</f>
        <v/>
      </c>
      <c r="C70" s="34">
        <f>Idade_Hoje+B70</f>
        <v/>
      </c>
      <c r="D70" s="35">
        <f>IF(B70&lt;=Anos_Acumulo,"Acumulação",IF(B70&lt;=Anos_Acumulo+$H$7,"Renda","—"))</f>
        <v/>
      </c>
      <c r="E70" s="36">
        <f>IF(D70="—","",I69)</f>
        <v/>
      </c>
      <c r="F70" s="36">
        <f>IF(D70="Acumulação",$D$7*12,IF(D70="—","",0))</f>
        <v/>
      </c>
      <c r="G70" s="36">
        <f>IF(D70="Renda",$F$7*12,IF(D70="—","",0))</f>
        <v/>
      </c>
      <c r="H70" s="36">
        <f>IF(D70="—","",I70-E70-F70+G70)</f>
        <v/>
      </c>
      <c r="I70" s="37">
        <f>IF(D70="—","",IF(D70="Acumulação",FV(Taxa_Mensal,12,-$D$7,-E70,0),MAX(0,FV(Taxa_Mensal,12,$F$7,-E70,1))))</f>
        <v/>
      </c>
      <c r="J70" s="38">
        <f>IF(D70="—","",I70*(1+Inflacao)^B70)</f>
        <v/>
      </c>
    </row>
    <row r="71">
      <c r="B71" s="33">
        <f>B70+1</f>
        <v/>
      </c>
      <c r="C71" s="34">
        <f>Idade_Hoje+B71</f>
        <v/>
      </c>
      <c r="D71" s="35">
        <f>IF(B71&lt;=Anos_Acumulo,"Acumulação",IF(B71&lt;=Anos_Acumulo+$H$7,"Renda","—"))</f>
        <v/>
      </c>
      <c r="E71" s="36">
        <f>IF(D71="—","",I70)</f>
        <v/>
      </c>
      <c r="F71" s="36">
        <f>IF(D71="Acumulação",$D$7*12,IF(D71="—","",0))</f>
        <v/>
      </c>
      <c r="G71" s="36">
        <f>IF(D71="Renda",$F$7*12,IF(D71="—","",0))</f>
        <v/>
      </c>
      <c r="H71" s="36">
        <f>IF(D71="—","",I71-E71-F71+G71)</f>
        <v/>
      </c>
      <c r="I71" s="37">
        <f>IF(D71="—","",IF(D71="Acumulação",FV(Taxa_Mensal,12,-$D$7,-E71,0),MAX(0,FV(Taxa_Mensal,12,$F$7,-E71,1))))</f>
        <v/>
      </c>
      <c r="J71" s="38">
        <f>IF(D71="—","",I71*(1+Inflacao)^B71)</f>
        <v/>
      </c>
    </row>
    <row r="72">
      <c r="B72" s="33">
        <f>B71+1</f>
        <v/>
      </c>
      <c r="C72" s="34">
        <f>Idade_Hoje+B72</f>
        <v/>
      </c>
      <c r="D72" s="35">
        <f>IF(B72&lt;=Anos_Acumulo,"Acumulação",IF(B72&lt;=Anos_Acumulo+$H$7,"Renda","—"))</f>
        <v/>
      </c>
      <c r="E72" s="36">
        <f>IF(D72="—","",I71)</f>
        <v/>
      </c>
      <c r="F72" s="36">
        <f>IF(D72="Acumulação",$D$7*12,IF(D72="—","",0))</f>
        <v/>
      </c>
      <c r="G72" s="36">
        <f>IF(D72="Renda",$F$7*12,IF(D72="—","",0))</f>
        <v/>
      </c>
      <c r="H72" s="36">
        <f>IF(D72="—","",I72-E72-F72+G72)</f>
        <v/>
      </c>
      <c r="I72" s="37">
        <f>IF(D72="—","",IF(D72="Acumulação",FV(Taxa_Mensal,12,-$D$7,-E72,0),MAX(0,FV(Taxa_Mensal,12,$F$7,-E72,1))))</f>
        <v/>
      </c>
      <c r="J72" s="38">
        <f>IF(D72="—","",I72*(1+Inflacao)^B72)</f>
        <v/>
      </c>
    </row>
    <row r="73">
      <c r="B73" s="33">
        <f>B72+1</f>
        <v/>
      </c>
      <c r="C73" s="34">
        <f>Idade_Hoje+B73</f>
        <v/>
      </c>
      <c r="D73" s="35">
        <f>IF(B73&lt;=Anos_Acumulo,"Acumulação",IF(B73&lt;=Anos_Acumulo+$H$7,"Renda","—"))</f>
        <v/>
      </c>
      <c r="E73" s="36">
        <f>IF(D73="—","",I72)</f>
        <v/>
      </c>
      <c r="F73" s="36">
        <f>IF(D73="Acumulação",$D$7*12,IF(D73="—","",0))</f>
        <v/>
      </c>
      <c r="G73" s="36">
        <f>IF(D73="Renda",$F$7*12,IF(D73="—","",0))</f>
        <v/>
      </c>
      <c r="H73" s="36">
        <f>IF(D73="—","",I73-E73-F73+G73)</f>
        <v/>
      </c>
      <c r="I73" s="37">
        <f>IF(D73="—","",IF(D73="Acumulação",FV(Taxa_Mensal,12,-$D$7,-E73,0),MAX(0,FV(Taxa_Mensal,12,$F$7,-E73,1))))</f>
        <v/>
      </c>
      <c r="J73" s="38">
        <f>IF(D73="—","",I73*(1+Inflacao)^B73)</f>
        <v/>
      </c>
    </row>
    <row r="74">
      <c r="B74" s="33">
        <f>B73+1</f>
        <v/>
      </c>
      <c r="C74" s="34">
        <f>Idade_Hoje+B74</f>
        <v/>
      </c>
      <c r="D74" s="35">
        <f>IF(B74&lt;=Anos_Acumulo,"Acumulação",IF(B74&lt;=Anos_Acumulo+$H$7,"Renda","—"))</f>
        <v/>
      </c>
      <c r="E74" s="36">
        <f>IF(D74="—","",I73)</f>
        <v/>
      </c>
      <c r="F74" s="36">
        <f>IF(D74="Acumulação",$D$7*12,IF(D74="—","",0))</f>
        <v/>
      </c>
      <c r="G74" s="36">
        <f>IF(D74="Renda",$F$7*12,IF(D74="—","",0))</f>
        <v/>
      </c>
      <c r="H74" s="36">
        <f>IF(D74="—","",I74-E74-F74+G74)</f>
        <v/>
      </c>
      <c r="I74" s="37">
        <f>IF(D74="—","",IF(D74="Acumulação",FV(Taxa_Mensal,12,-$D$7,-E74,0),MAX(0,FV(Taxa_Mensal,12,$F$7,-E74,1))))</f>
        <v/>
      </c>
      <c r="J74" s="38">
        <f>IF(D74="—","",I74*(1+Inflacao)^B74)</f>
        <v/>
      </c>
    </row>
    <row r="75">
      <c r="B75" s="33">
        <f>B74+1</f>
        <v/>
      </c>
      <c r="C75" s="34">
        <f>Idade_Hoje+B75</f>
        <v/>
      </c>
      <c r="D75" s="35">
        <f>IF(B75&lt;=Anos_Acumulo,"Acumulação",IF(B75&lt;=Anos_Acumulo+$H$7,"Renda","—"))</f>
        <v/>
      </c>
      <c r="E75" s="36">
        <f>IF(D75="—","",I74)</f>
        <v/>
      </c>
      <c r="F75" s="36">
        <f>IF(D75="Acumulação",$D$7*12,IF(D75="—","",0))</f>
        <v/>
      </c>
      <c r="G75" s="36">
        <f>IF(D75="Renda",$F$7*12,IF(D75="—","",0))</f>
        <v/>
      </c>
      <c r="H75" s="36">
        <f>IF(D75="—","",I75-E75-F75+G75)</f>
        <v/>
      </c>
      <c r="I75" s="37">
        <f>IF(D75="—","",IF(D75="Acumulação",FV(Taxa_Mensal,12,-$D$7,-E75,0),MAX(0,FV(Taxa_Mensal,12,$F$7,-E75,1))))</f>
        <v/>
      </c>
      <c r="J75" s="38">
        <f>IF(D75="—","",I75*(1+Inflacao)^B75)</f>
        <v/>
      </c>
    </row>
    <row r="76">
      <c r="B76" s="33">
        <f>B75+1</f>
        <v/>
      </c>
      <c r="C76" s="34">
        <f>Idade_Hoje+B76</f>
        <v/>
      </c>
      <c r="D76" s="35">
        <f>IF(B76&lt;=Anos_Acumulo,"Acumulação",IF(B76&lt;=Anos_Acumulo+$H$7,"Renda","—"))</f>
        <v/>
      </c>
      <c r="E76" s="36">
        <f>IF(D76="—","",I75)</f>
        <v/>
      </c>
      <c r="F76" s="36">
        <f>IF(D76="Acumulação",$D$7*12,IF(D76="—","",0))</f>
        <v/>
      </c>
      <c r="G76" s="36">
        <f>IF(D76="Renda",$F$7*12,IF(D76="—","",0))</f>
        <v/>
      </c>
      <c r="H76" s="36">
        <f>IF(D76="—","",I76-E76-F76+G76)</f>
        <v/>
      </c>
      <c r="I76" s="37">
        <f>IF(D76="—","",IF(D76="Acumulação",FV(Taxa_Mensal,12,-$D$7,-E76,0),MAX(0,FV(Taxa_Mensal,12,$F$7,-E76,1))))</f>
        <v/>
      </c>
      <c r="J76" s="38">
        <f>IF(D76="—","",I76*(1+Inflacao)^B76)</f>
        <v/>
      </c>
    </row>
    <row r="77">
      <c r="B77" s="33">
        <f>B76+1</f>
        <v/>
      </c>
      <c r="C77" s="34">
        <f>Idade_Hoje+B77</f>
        <v/>
      </c>
      <c r="D77" s="35">
        <f>IF(B77&lt;=Anos_Acumulo,"Acumulação",IF(B77&lt;=Anos_Acumulo+$H$7,"Renda","—"))</f>
        <v/>
      </c>
      <c r="E77" s="36">
        <f>IF(D77="—","",I76)</f>
        <v/>
      </c>
      <c r="F77" s="36">
        <f>IF(D77="Acumulação",$D$7*12,IF(D77="—","",0))</f>
        <v/>
      </c>
      <c r="G77" s="36">
        <f>IF(D77="Renda",$F$7*12,IF(D77="—","",0))</f>
        <v/>
      </c>
      <c r="H77" s="36">
        <f>IF(D77="—","",I77-E77-F77+G77)</f>
        <v/>
      </c>
      <c r="I77" s="37">
        <f>IF(D77="—","",IF(D77="Acumulação",FV(Taxa_Mensal,12,-$D$7,-E77,0),MAX(0,FV(Taxa_Mensal,12,$F$7,-E77,1))))</f>
        <v/>
      </c>
      <c r="J77" s="38">
        <f>IF(D77="—","",I77*(1+Inflacao)^B77)</f>
        <v/>
      </c>
    </row>
    <row r="78">
      <c r="B78" s="33">
        <f>B77+1</f>
        <v/>
      </c>
      <c r="C78" s="34">
        <f>Idade_Hoje+B78</f>
        <v/>
      </c>
      <c r="D78" s="35">
        <f>IF(B78&lt;=Anos_Acumulo,"Acumulação",IF(B78&lt;=Anos_Acumulo+$H$7,"Renda","—"))</f>
        <v/>
      </c>
      <c r="E78" s="36">
        <f>IF(D78="—","",I77)</f>
        <v/>
      </c>
      <c r="F78" s="36">
        <f>IF(D78="Acumulação",$D$7*12,IF(D78="—","",0))</f>
        <v/>
      </c>
      <c r="G78" s="36">
        <f>IF(D78="Renda",$F$7*12,IF(D78="—","",0))</f>
        <v/>
      </c>
      <c r="H78" s="36">
        <f>IF(D78="—","",I78-E78-F78+G78)</f>
        <v/>
      </c>
      <c r="I78" s="37">
        <f>IF(D78="—","",IF(D78="Acumulação",FV(Taxa_Mensal,12,-$D$7,-E78,0),MAX(0,FV(Taxa_Mensal,12,$F$7,-E78,1))))</f>
        <v/>
      </c>
      <c r="J78" s="38">
        <f>IF(D78="—","",I78*(1+Inflacao)^B78)</f>
        <v/>
      </c>
    </row>
    <row r="79">
      <c r="B79" s="33">
        <f>B78+1</f>
        <v/>
      </c>
      <c r="C79" s="34">
        <f>Idade_Hoje+B79</f>
        <v/>
      </c>
      <c r="D79" s="35">
        <f>IF(B79&lt;=Anos_Acumulo,"Acumulação",IF(B79&lt;=Anos_Acumulo+$H$7,"Renda","—"))</f>
        <v/>
      </c>
      <c r="E79" s="36">
        <f>IF(D79="—","",I78)</f>
        <v/>
      </c>
      <c r="F79" s="36">
        <f>IF(D79="Acumulação",$D$7*12,IF(D79="—","",0))</f>
        <v/>
      </c>
      <c r="G79" s="36">
        <f>IF(D79="Renda",$F$7*12,IF(D79="—","",0))</f>
        <v/>
      </c>
      <c r="H79" s="36">
        <f>IF(D79="—","",I79-E79-F79+G79)</f>
        <v/>
      </c>
      <c r="I79" s="37">
        <f>IF(D79="—","",IF(D79="Acumulação",FV(Taxa_Mensal,12,-$D$7,-E79,0),MAX(0,FV(Taxa_Mensal,12,$F$7,-E79,1))))</f>
        <v/>
      </c>
      <c r="J79" s="38">
        <f>IF(D79="—","",I79*(1+Inflacao)^B79)</f>
        <v/>
      </c>
    </row>
    <row r="80">
      <c r="B80" s="33">
        <f>B79+1</f>
        <v/>
      </c>
      <c r="C80" s="34">
        <f>Idade_Hoje+B80</f>
        <v/>
      </c>
      <c r="D80" s="35">
        <f>IF(B80&lt;=Anos_Acumulo,"Acumulação",IF(B80&lt;=Anos_Acumulo+$H$7,"Renda","—"))</f>
        <v/>
      </c>
      <c r="E80" s="36">
        <f>IF(D80="—","",I79)</f>
        <v/>
      </c>
      <c r="F80" s="36">
        <f>IF(D80="Acumulação",$D$7*12,IF(D80="—","",0))</f>
        <v/>
      </c>
      <c r="G80" s="36">
        <f>IF(D80="Renda",$F$7*12,IF(D80="—","",0))</f>
        <v/>
      </c>
      <c r="H80" s="36">
        <f>IF(D80="—","",I80-E80-F80+G80)</f>
        <v/>
      </c>
      <c r="I80" s="37">
        <f>IF(D80="—","",IF(D80="Acumulação",FV(Taxa_Mensal,12,-$D$7,-E80,0),MAX(0,FV(Taxa_Mensal,12,$F$7,-E80,1))))</f>
        <v/>
      </c>
      <c r="J80" s="38">
        <f>IF(D80="—","",I80*(1+Inflacao)^B80)</f>
        <v/>
      </c>
    </row>
    <row r="81">
      <c r="B81" s="33">
        <f>B80+1</f>
        <v/>
      </c>
      <c r="C81" s="34">
        <f>Idade_Hoje+B81</f>
        <v/>
      </c>
      <c r="D81" s="35">
        <f>IF(B81&lt;=Anos_Acumulo,"Acumulação",IF(B81&lt;=Anos_Acumulo+$H$7,"Renda","—"))</f>
        <v/>
      </c>
      <c r="E81" s="36">
        <f>IF(D81="—","",I80)</f>
        <v/>
      </c>
      <c r="F81" s="36">
        <f>IF(D81="Acumulação",$D$7*12,IF(D81="—","",0))</f>
        <v/>
      </c>
      <c r="G81" s="36">
        <f>IF(D81="Renda",$F$7*12,IF(D81="—","",0))</f>
        <v/>
      </c>
      <c r="H81" s="36">
        <f>IF(D81="—","",I81-E81-F81+G81)</f>
        <v/>
      </c>
      <c r="I81" s="37">
        <f>IF(D81="—","",IF(D81="Acumulação",FV(Taxa_Mensal,12,-$D$7,-E81,0),MAX(0,FV(Taxa_Mensal,12,$F$7,-E81,1))))</f>
        <v/>
      </c>
      <c r="J81" s="38">
        <f>IF(D81="—","",I81*(1+Inflacao)^B81)</f>
        <v/>
      </c>
    </row>
    <row r="82">
      <c r="B82" s="33">
        <f>B81+1</f>
        <v/>
      </c>
      <c r="C82" s="34">
        <f>Idade_Hoje+B82</f>
        <v/>
      </c>
      <c r="D82" s="35">
        <f>IF(B82&lt;=Anos_Acumulo,"Acumulação",IF(B82&lt;=Anos_Acumulo+$H$7,"Renda","—"))</f>
        <v/>
      </c>
      <c r="E82" s="36">
        <f>IF(D82="—","",I81)</f>
        <v/>
      </c>
      <c r="F82" s="36">
        <f>IF(D82="Acumulação",$D$7*12,IF(D82="—","",0))</f>
        <v/>
      </c>
      <c r="G82" s="36">
        <f>IF(D82="Renda",$F$7*12,IF(D82="—","",0))</f>
        <v/>
      </c>
      <c r="H82" s="36">
        <f>IF(D82="—","",I82-E82-F82+G82)</f>
        <v/>
      </c>
      <c r="I82" s="37">
        <f>IF(D82="—","",IF(D82="Acumulação",FV(Taxa_Mensal,12,-$D$7,-E82,0),MAX(0,FV(Taxa_Mensal,12,$F$7,-E82,1))))</f>
        <v/>
      </c>
      <c r="J82" s="38">
        <f>IF(D82="—","",I82*(1+Inflacao)^B82)</f>
        <v/>
      </c>
    </row>
    <row r="83">
      <c r="B83" s="33">
        <f>B82+1</f>
        <v/>
      </c>
      <c r="C83" s="34">
        <f>Idade_Hoje+B83</f>
        <v/>
      </c>
      <c r="D83" s="35">
        <f>IF(B83&lt;=Anos_Acumulo,"Acumulação",IF(B83&lt;=Anos_Acumulo+$H$7,"Renda","—"))</f>
        <v/>
      </c>
      <c r="E83" s="36">
        <f>IF(D83="—","",I82)</f>
        <v/>
      </c>
      <c r="F83" s="36">
        <f>IF(D83="Acumulação",$D$7*12,IF(D83="—","",0))</f>
        <v/>
      </c>
      <c r="G83" s="36">
        <f>IF(D83="Renda",$F$7*12,IF(D83="—","",0))</f>
        <v/>
      </c>
      <c r="H83" s="36">
        <f>IF(D83="—","",I83-E83-F83+G83)</f>
        <v/>
      </c>
      <c r="I83" s="37">
        <f>IF(D83="—","",IF(D83="Acumulação",FV(Taxa_Mensal,12,-$D$7,-E83,0),MAX(0,FV(Taxa_Mensal,12,$F$7,-E83,1))))</f>
        <v/>
      </c>
      <c r="J83" s="38">
        <f>IF(D83="—","",I83*(1+Inflacao)^B83)</f>
        <v/>
      </c>
    </row>
    <row r="84">
      <c r="B84" s="33">
        <f>B83+1</f>
        <v/>
      </c>
      <c r="C84" s="34">
        <f>Idade_Hoje+B84</f>
        <v/>
      </c>
      <c r="D84" s="35">
        <f>IF(B84&lt;=Anos_Acumulo,"Acumulação",IF(B84&lt;=Anos_Acumulo+$H$7,"Renda","—"))</f>
        <v/>
      </c>
      <c r="E84" s="36">
        <f>IF(D84="—","",I83)</f>
        <v/>
      </c>
      <c r="F84" s="36">
        <f>IF(D84="Acumulação",$D$7*12,IF(D84="—","",0))</f>
        <v/>
      </c>
      <c r="G84" s="36">
        <f>IF(D84="Renda",$F$7*12,IF(D84="—","",0))</f>
        <v/>
      </c>
      <c r="H84" s="36">
        <f>IF(D84="—","",I84-E84-F84+G84)</f>
        <v/>
      </c>
      <c r="I84" s="37">
        <f>IF(D84="—","",IF(D84="Acumulação",FV(Taxa_Mensal,12,-$D$7,-E84,0),MAX(0,FV(Taxa_Mensal,12,$F$7,-E84,1))))</f>
        <v/>
      </c>
      <c r="J84" s="38">
        <f>IF(D84="—","",I84*(1+Inflacao)^B84)</f>
        <v/>
      </c>
    </row>
    <row r="85">
      <c r="B85" s="33">
        <f>B84+1</f>
        <v/>
      </c>
      <c r="C85" s="34">
        <f>Idade_Hoje+B85</f>
        <v/>
      </c>
      <c r="D85" s="35">
        <f>IF(B85&lt;=Anos_Acumulo,"Acumulação",IF(B85&lt;=Anos_Acumulo+$H$7,"Renda","—"))</f>
        <v/>
      </c>
      <c r="E85" s="36">
        <f>IF(D85="—","",I84)</f>
        <v/>
      </c>
      <c r="F85" s="36">
        <f>IF(D85="Acumulação",$D$7*12,IF(D85="—","",0))</f>
        <v/>
      </c>
      <c r="G85" s="36">
        <f>IF(D85="Renda",$F$7*12,IF(D85="—","",0))</f>
        <v/>
      </c>
      <c r="H85" s="36">
        <f>IF(D85="—","",I85-E85-F85+G85)</f>
        <v/>
      </c>
      <c r="I85" s="37">
        <f>IF(D85="—","",IF(D85="Acumulação",FV(Taxa_Mensal,12,-$D$7,-E85,0),MAX(0,FV(Taxa_Mensal,12,$F$7,-E85,1))))</f>
        <v/>
      </c>
      <c r="J85" s="38">
        <f>IF(D85="—","",I85*(1+Inflacao)^B85)</f>
        <v/>
      </c>
    </row>
    <row r="86">
      <c r="B86" s="33">
        <f>B85+1</f>
        <v/>
      </c>
      <c r="C86" s="34">
        <f>Idade_Hoje+B86</f>
        <v/>
      </c>
      <c r="D86" s="35">
        <f>IF(B86&lt;=Anos_Acumulo,"Acumulação",IF(B86&lt;=Anos_Acumulo+$H$7,"Renda","—"))</f>
        <v/>
      </c>
      <c r="E86" s="36">
        <f>IF(D86="—","",I85)</f>
        <v/>
      </c>
      <c r="F86" s="36">
        <f>IF(D86="Acumulação",$D$7*12,IF(D86="—","",0))</f>
        <v/>
      </c>
      <c r="G86" s="36">
        <f>IF(D86="Renda",$F$7*12,IF(D86="—","",0))</f>
        <v/>
      </c>
      <c r="H86" s="36">
        <f>IF(D86="—","",I86-E86-F86+G86)</f>
        <v/>
      </c>
      <c r="I86" s="37">
        <f>IF(D86="—","",IF(D86="Acumulação",FV(Taxa_Mensal,12,-$D$7,-E86,0),MAX(0,FV(Taxa_Mensal,12,$F$7,-E86,1))))</f>
        <v/>
      </c>
      <c r="J86" s="38">
        <f>IF(D86="—","",I86*(1+Inflacao)^B86)</f>
        <v/>
      </c>
    </row>
    <row r="87">
      <c r="B87" s="33">
        <f>B86+1</f>
        <v/>
      </c>
      <c r="C87" s="34">
        <f>Idade_Hoje+B87</f>
        <v/>
      </c>
      <c r="D87" s="35">
        <f>IF(B87&lt;=Anos_Acumulo,"Acumulação",IF(B87&lt;=Anos_Acumulo+$H$7,"Renda","—"))</f>
        <v/>
      </c>
      <c r="E87" s="36">
        <f>IF(D87="—","",I86)</f>
        <v/>
      </c>
      <c r="F87" s="36">
        <f>IF(D87="Acumulação",$D$7*12,IF(D87="—","",0))</f>
        <v/>
      </c>
      <c r="G87" s="36">
        <f>IF(D87="Renda",$F$7*12,IF(D87="—","",0))</f>
        <v/>
      </c>
      <c r="H87" s="36">
        <f>IF(D87="—","",I87-E87-F87+G87)</f>
        <v/>
      </c>
      <c r="I87" s="37">
        <f>IF(D87="—","",IF(D87="Acumulação",FV(Taxa_Mensal,12,-$D$7,-E87,0),MAX(0,FV(Taxa_Mensal,12,$F$7,-E87,1))))</f>
        <v/>
      </c>
      <c r="J87" s="38">
        <f>IF(D87="—","",I87*(1+Inflacao)^B87)</f>
        <v/>
      </c>
    </row>
    <row r="88">
      <c r="B88" s="33">
        <f>B87+1</f>
        <v/>
      </c>
      <c r="C88" s="34">
        <f>Idade_Hoje+B88</f>
        <v/>
      </c>
      <c r="D88" s="35">
        <f>IF(B88&lt;=Anos_Acumulo,"Acumulação",IF(B88&lt;=Anos_Acumulo+$H$7,"Renda","—"))</f>
        <v/>
      </c>
      <c r="E88" s="36">
        <f>IF(D88="—","",I87)</f>
        <v/>
      </c>
      <c r="F88" s="36">
        <f>IF(D88="Acumulação",$D$7*12,IF(D88="—","",0))</f>
        <v/>
      </c>
      <c r="G88" s="36">
        <f>IF(D88="Renda",$F$7*12,IF(D88="—","",0))</f>
        <v/>
      </c>
      <c r="H88" s="36">
        <f>IF(D88="—","",I88-E88-F88+G88)</f>
        <v/>
      </c>
      <c r="I88" s="37">
        <f>IF(D88="—","",IF(D88="Acumulação",FV(Taxa_Mensal,12,-$D$7,-E88,0),MAX(0,FV(Taxa_Mensal,12,$F$7,-E88,1))))</f>
        <v/>
      </c>
      <c r="J88" s="38">
        <f>IF(D88="—","",I88*(1+Inflacao)^B88)</f>
        <v/>
      </c>
    </row>
    <row r="89">
      <c r="B89" s="33">
        <f>B88+1</f>
        <v/>
      </c>
      <c r="C89" s="34">
        <f>Idade_Hoje+B89</f>
        <v/>
      </c>
      <c r="D89" s="35">
        <f>IF(B89&lt;=Anos_Acumulo,"Acumulação",IF(B89&lt;=Anos_Acumulo+$H$7,"Renda","—"))</f>
        <v/>
      </c>
      <c r="E89" s="36">
        <f>IF(D89="—","",I88)</f>
        <v/>
      </c>
      <c r="F89" s="36">
        <f>IF(D89="Acumulação",$D$7*12,IF(D89="—","",0))</f>
        <v/>
      </c>
      <c r="G89" s="36">
        <f>IF(D89="Renda",$F$7*12,IF(D89="—","",0))</f>
        <v/>
      </c>
      <c r="H89" s="36">
        <f>IF(D89="—","",I89-E89-F89+G89)</f>
        <v/>
      </c>
      <c r="I89" s="37">
        <f>IF(D89="—","",IF(D89="Acumulação",FV(Taxa_Mensal,12,-$D$7,-E89,0),MAX(0,FV(Taxa_Mensal,12,$F$7,-E89,1))))</f>
        <v/>
      </c>
      <c r="J89" s="38">
        <f>IF(D89="—","",I89*(1+Inflacao)^B89)</f>
        <v/>
      </c>
    </row>
    <row r="90">
      <c r="B90" s="33">
        <f>B89+1</f>
        <v/>
      </c>
      <c r="C90" s="34">
        <f>Idade_Hoje+B90</f>
        <v/>
      </c>
      <c r="D90" s="35">
        <f>IF(B90&lt;=Anos_Acumulo,"Acumulação",IF(B90&lt;=Anos_Acumulo+$H$7,"Renda","—"))</f>
        <v/>
      </c>
      <c r="E90" s="36">
        <f>IF(D90="—","",I89)</f>
        <v/>
      </c>
      <c r="F90" s="36">
        <f>IF(D90="Acumulação",$D$7*12,IF(D90="—","",0))</f>
        <v/>
      </c>
      <c r="G90" s="36">
        <f>IF(D90="Renda",$F$7*12,IF(D90="—","",0))</f>
        <v/>
      </c>
      <c r="H90" s="36">
        <f>IF(D90="—","",I90-E90-F90+G90)</f>
        <v/>
      </c>
      <c r="I90" s="37">
        <f>IF(D90="—","",IF(D90="Acumulação",FV(Taxa_Mensal,12,-$D$7,-E90,0),MAX(0,FV(Taxa_Mensal,12,$F$7,-E90,1))))</f>
        <v/>
      </c>
      <c r="J90" s="38">
        <f>IF(D90="—","",I90*(1+Inflacao)^B90)</f>
        <v/>
      </c>
    </row>
    <row r="92">
      <c r="B92" s="31" t="inlineStr">
        <is>
          <t>As colunas de "Saldo inicial" a "Saldo final" estão em reais de hoje. A última mostra o mesmo saldo final no dinheiro daquele ano.</t>
        </is>
      </c>
    </row>
    <row r="93">
      <c r="B93" s="31" t="inlineStr">
        <is>
          <t>O saldo final de cada ano compõe doze meses: na acumulação o aporte entra no fim de cada mês; na renda o saque sai no início e o que sobra rende.</t>
        </is>
      </c>
    </row>
    <row r="94">
      <c r="B94" s="31" t="inlineStr">
        <is>
          <t>O rendimento é obtido por diferença, de modo que cada linha fecha: saldo final = saldo inicial + aportes − saques + rendimento.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2026-08-03T20:08:18Z</dcterms:created>
  <dcterms:modified xsi:type="dcterms:W3CDTF">2026-08-03T20:08:18Z</dcterms:modified>
</cp:coreProperties>
</file>